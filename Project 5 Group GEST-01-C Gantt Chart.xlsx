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uofnebraska-my.sharepoint.com/personal/98786439_nebraska_edu/Documents/Spring 26/CIVE 202/Project #5 Steel Dream Design/"/>
    </mc:Choice>
  </mc:AlternateContent>
  <xr:revisionPtr revIDLastSave="724" documentId="8_{4344D8BC-2D79-4634-AB23-B78B4BFCD46F}" xr6:coauthVersionLast="47" xr6:coauthVersionMax="47" xr10:uidLastSave="{DC76D3EE-67AF-4369-B1B5-FEC307EC1022}"/>
  <bookViews>
    <workbookView xWindow="-108" yWindow="-108" windowWidth="23256" windowHeight="12456" xr2:uid="{00000000-000D-0000-FFFF-FFFF00000000}"/>
  </bookViews>
  <sheets>
    <sheet name="Project schedule" sheetId="11" r:id="rId1"/>
  </sheets>
  <definedNames>
    <definedName name="_Toc223019436" localSheetId="0">'Project schedule'!$B$12</definedName>
    <definedName name="_Toc223019437" localSheetId="0">'Project schedule'!#REF!</definedName>
    <definedName name="_Toc223019438" localSheetId="0">'Project schedule'!#REF!</definedName>
    <definedName name="_Toc223019439" localSheetId="0">'Project schedule'!$B$18</definedName>
    <definedName name="_Toc223019440" localSheetId="0">'Project schedule'!#REF!</definedName>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1" l="1"/>
  <c r="F26" i="11" s="1"/>
  <c r="F23" i="11"/>
  <c r="E23" i="11"/>
  <c r="F24" i="11"/>
  <c r="E24" i="11"/>
  <c r="E20" i="11"/>
  <c r="F20" i="11"/>
  <c r="Q1" i="11"/>
  <c r="E30" i="11" s="1"/>
  <c r="AI1" i="11"/>
  <c r="F31" i="11" s="1"/>
  <c r="H7" i="11"/>
  <c r="E27" i="11" l="1"/>
  <c r="F27" i="11" s="1"/>
  <c r="E9" i="11"/>
  <c r="F9" i="11" s="1"/>
  <c r="E10" i="11" s="1"/>
  <c r="F10" i="11" s="1"/>
  <c r="E25" i="11"/>
  <c r="F25" i="11" s="1"/>
  <c r="E28" i="11"/>
  <c r="F28" i="11" s="1"/>
  <c r="F32" i="11" s="1"/>
  <c r="F30" i="11"/>
  <c r="E31" i="11"/>
  <c r="I5" i="11"/>
  <c r="H34" i="11"/>
  <c r="H29" i="11"/>
  <c r="H19" i="11"/>
  <c r="H13" i="11"/>
  <c r="H8" i="11"/>
  <c r="E11" i="11" l="1"/>
  <c r="E33" i="11"/>
  <c r="F33" i="11" s="1"/>
  <c r="H9" i="11"/>
  <c r="I6" i="11"/>
  <c r="F11" i="11" l="1"/>
  <c r="E14" i="11" s="1"/>
  <c r="F14" i="11" s="1"/>
  <c r="H33" i="11"/>
  <c r="J5" i="11"/>
  <c r="K5" i="11" s="1"/>
  <c r="L5" i="11" s="1"/>
  <c r="M5" i="11" s="1"/>
  <c r="N5" i="11" s="1"/>
  <c r="O5" i="11" s="1"/>
  <c r="P5" i="11" s="1"/>
  <c r="I4" i="11"/>
  <c r="E12" i="11" l="1"/>
  <c r="F12" i="11" s="1"/>
  <c r="E32" i="11"/>
  <c r="E15" i="11"/>
  <c r="H30" i="11"/>
  <c r="P4" i="11"/>
  <c r="Q5" i="11"/>
  <c r="R5" i="11" s="1"/>
  <c r="J6" i="11"/>
  <c r="E16" i="11" l="1"/>
  <c r="F15" i="11"/>
  <c r="S5" i="11"/>
  <c r="T5" i="11" s="1"/>
  <c r="U5" i="11" s="1"/>
  <c r="V5" i="11" s="1"/>
  <c r="W5" i="11" s="1"/>
  <c r="X5" i="11" s="1"/>
  <c r="X6" i="11" s="1"/>
  <c r="H14" i="11"/>
  <c r="K6" i="11"/>
  <c r="F16" i="11" l="1"/>
  <c r="H16" i="11" s="1"/>
  <c r="W4" i="11"/>
  <c r="Y5" i="11"/>
  <c r="H15" i="11"/>
  <c r="L6" i="11"/>
  <c r="E17" i="11" l="1"/>
  <c r="Z5" i="11"/>
  <c r="AA5" i="11" s="1"/>
  <c r="AB5" i="11" s="1"/>
  <c r="AC5" i="11" s="1"/>
  <c r="AD5" i="11" s="1"/>
  <c r="M6" i="11"/>
  <c r="F17" i="11" l="1"/>
  <c r="E18" i="11" s="1"/>
  <c r="F18" i="11" s="1"/>
  <c r="AE5" i="11"/>
  <c r="AF5" i="11" s="1"/>
  <c r="AG5" i="11" s="1"/>
  <c r="AH5" i="11" s="1"/>
  <c r="AI5" i="11" s="1"/>
  <c r="AJ5" i="11" s="1"/>
  <c r="AK5" i="11" s="1"/>
  <c r="AL5" i="11" s="1"/>
  <c r="AM5" i="11" s="1"/>
  <c r="AN5" i="11" s="1"/>
  <c r="AO5" i="11" s="1"/>
  <c r="AP5" i="11" s="1"/>
  <c r="AQ5" i="11" s="1"/>
  <c r="AR5" i="11" s="1"/>
  <c r="AS5" i="11" s="1"/>
  <c r="AS6" i="11" s="1"/>
  <c r="AD4" i="11"/>
  <c r="E21" i="11"/>
  <c r="F21" i="11" s="1"/>
  <c r="E22" i="11" s="1"/>
  <c r="F22" i="11" s="1"/>
  <c r="AK4" i="11"/>
  <c r="N6" i="11"/>
  <c r="H32" i="11" l="1"/>
  <c r="AT5"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6" i="11" l="1"/>
  <c r="BN5" i="11"/>
  <c r="BM4" i="11"/>
  <c r="BL6" i="11"/>
  <c r="AG6" i="11"/>
  <c r="BN6" i="11" l="1"/>
  <c r="BO5" i="11"/>
  <c r="AH6" i="11"/>
  <c r="BP5" i="11" l="1"/>
  <c r="BO6" i="11"/>
  <c r="AI6" i="11"/>
  <c r="BQ5" i="11" l="1"/>
  <c r="BP6" i="11"/>
  <c r="AJ6" i="11"/>
  <c r="BR5" i="11" l="1"/>
  <c r="BQ6" i="11"/>
  <c r="AK6" i="11"/>
  <c r="BS5" i="11" l="1"/>
  <c r="BR6" i="11"/>
  <c r="AL6" i="11"/>
  <c r="BS6" i="11" l="1"/>
  <c r="BT5" i="11"/>
  <c r="AM6" i="11"/>
  <c r="BT4" i="11" l="1"/>
  <c r="BT6" i="11"/>
  <c r="BU5" i="11"/>
  <c r="AN6" i="11"/>
  <c r="BU6" i="11" l="1"/>
  <c r="BV5" i="11"/>
  <c r="AO6" i="11"/>
  <c r="BW5" i="11" l="1"/>
  <c r="BV6" i="11"/>
  <c r="AP6" i="11"/>
  <c r="BX5" i="11" l="1"/>
  <c r="BW6" i="11"/>
  <c r="AQ6" i="11"/>
  <c r="BX6" i="11" l="1"/>
  <c r="BY5" i="11"/>
  <c r="AR6" i="11"/>
  <c r="BZ5" i="11" l="1"/>
  <c r="BY6" i="11"/>
  <c r="BZ6" i="11" l="1"/>
  <c r="CA5" i="11"/>
  <c r="CA6" i="11" l="1"/>
  <c r="CB5" i="11"/>
  <c r="CA4" i="11"/>
  <c r="CB6" i="11" l="1"/>
  <c r="CC5" i="11"/>
  <c r="CC6" i="11" l="1"/>
  <c r="CD5" i="11"/>
  <c r="CD6" i="11" l="1"/>
  <c r="CE5" i="11"/>
  <c r="CF5" i="11" l="1"/>
  <c r="CE6" i="11"/>
  <c r="CF6" i="11" l="1"/>
  <c r="CG5" i="11"/>
  <c r="CG6" i="11" s="1"/>
</calcChain>
</file>

<file path=xl/sharedStrings.xml><?xml version="1.0" encoding="utf-8"?>
<sst xmlns="http://schemas.openxmlformats.org/spreadsheetml/2006/main" count="63" uniqueCount="47">
  <si>
    <t>CIVE 202 Project #5</t>
  </si>
  <si>
    <t>Project Members</t>
  </si>
  <si>
    <t>Project start:</t>
  </si>
  <si>
    <t>Project end:</t>
  </si>
  <si>
    <t>GEST-01-C Automation of Steel Beam Calculations (Steel Design)</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</si>
  <si>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</si>
  <si>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</si>
  <si>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</si>
  <si>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</si>
  <si>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</si>
  <si>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</si>
  <si>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</si>
  <si>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</si>
  <si>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</si>
  <si>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Planning for function development</t>
  </si>
  <si>
    <t>Project Schedule Planning  (Gantt Chart)</t>
  </si>
  <si>
    <t>Mac</t>
  </si>
  <si>
    <t>TASK 1: AISC Procedural Review</t>
  </si>
  <si>
    <t>All Members</t>
  </si>
  <si>
    <t>TASKS 2-4: Flow Chart</t>
  </si>
  <si>
    <t>TASK 5: Scenario Definition Planning</t>
  </si>
  <si>
    <t>Draft functions in Python</t>
  </si>
  <si>
    <t>TASK 2: Python Function Creation</t>
  </si>
  <si>
    <t>TASK 3: User Input Flow</t>
  </si>
  <si>
    <t>TASK 4: Output Formatting</t>
  </si>
  <si>
    <t>TASK 5: Scenario Definition and Validation</t>
  </si>
  <si>
    <t>TASK 6: Graphing and Visuals</t>
  </si>
  <si>
    <t>Execution</t>
  </si>
  <si>
    <t>Data cleaning and Processing</t>
  </si>
  <si>
    <t>Testing and validation</t>
  </si>
  <si>
    <t>Technical Executive Summary</t>
  </si>
  <si>
    <t>Non-technical Executive Summary</t>
  </si>
  <si>
    <t>Annotated Code Document (ACD)</t>
  </si>
  <si>
    <t>Jacob Oetken</t>
  </si>
  <si>
    <t>Scope of Work (SOW)</t>
  </si>
  <si>
    <t>Jacob</t>
  </si>
  <si>
    <t>README document</t>
  </si>
  <si>
    <t>Jacob and Mac</t>
  </si>
  <si>
    <t>GitHub Repository Creation</t>
  </si>
  <si>
    <t>Tyler</t>
  </si>
  <si>
    <t>Final Project integration and submission</t>
  </si>
  <si>
    <t>Evaluation</t>
  </si>
  <si>
    <t>Monitor progress</t>
  </si>
  <si>
    <t>Track Billable Hours</t>
  </si>
  <si>
    <t>Evaluate progress</t>
  </si>
  <si>
    <t>Gather feedback</t>
  </si>
  <si>
    <t>Jacob Oetken, Tyler Thiede, Michael McCarthy, Bryce Ripley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</si>
</sst>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
      <sz val="8"/>
      <name val="Arial"/>
      <family val="2"/>
      <scheme val="minor"/>
    </font>
    <font>
      <sz val="12"/>
      <color theme="1"/>
      <name val="Times New Roman"/>
      <family val="1"/>
    </font>
    <font>
      <b/>
      <sz val="10"/>
      <color theme="9"/>
      <name val="Arial"/>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FF00"/>
        <bgColor indexed="64"/>
      </patternFill>
    </fill>
    <fill>
      <patternFill patternType="solid">
        <fgColor theme="0"/>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2">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1" fillId="0" borderId="0" xfId="0" applyFont="1"/>
    <xf numFmtId="0" fontId="11" fillId="0" borderId="0" xfId="0" applyFont="1" applyAlignment="1">
      <alignment horizontal="center"/>
    </xf>
    <xf numFmtId="0" fontId="12" fillId="0" borderId="0" xfId="0" applyFont="1"/>
    <xf numFmtId="0" fontId="13"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6" fillId="12" borderId="20" xfId="0" applyNumberFormat="1" applyFont="1" applyFill="1" applyBorder="1" applyAlignment="1">
      <alignment horizontal="center" vertical="center"/>
    </xf>
    <xf numFmtId="167" fontId="16" fillId="12" borderId="18" xfId="0" applyNumberFormat="1" applyFont="1" applyFill="1" applyBorder="1" applyAlignment="1">
      <alignment horizontal="center" vertical="center"/>
    </xf>
    <xf numFmtId="167" fontId="16" fillId="12" borderId="19" xfId="0" applyNumberFormat="1" applyFont="1" applyFill="1" applyBorder="1" applyAlignment="1">
      <alignment horizontal="center" vertical="center"/>
    </xf>
    <xf numFmtId="0" fontId="17" fillId="2" borderId="17" xfId="0" applyFont="1" applyFill="1" applyBorder="1" applyAlignment="1">
      <alignment horizontal="center" vertical="center" shrinkToFit="1"/>
    </xf>
    <xf numFmtId="0" fontId="17" fillId="2" borderId="14" xfId="0" applyFont="1" applyFill="1" applyBorder="1" applyAlignment="1">
      <alignment horizontal="center" vertical="center" shrinkToFit="1"/>
    </xf>
    <xf numFmtId="0" fontId="17" fillId="2" borderId="15" xfId="0" applyFont="1" applyFill="1" applyBorder="1" applyAlignment="1">
      <alignment horizontal="center" vertical="center" shrinkToFit="1"/>
    </xf>
    <xf numFmtId="0" fontId="14" fillId="0" borderId="0" xfId="0" applyFont="1"/>
    <xf numFmtId="0" fontId="14" fillId="0" borderId="0" xfId="0" applyFont="1" applyAlignment="1">
      <alignment wrapText="1"/>
    </xf>
    <xf numFmtId="0" fontId="4" fillId="0" borderId="3" xfId="0" applyFont="1" applyBorder="1" applyAlignment="1">
      <alignment vertical="center"/>
    </xf>
    <xf numFmtId="0" fontId="18" fillId="6" borderId="0" xfId="0" applyFont="1" applyFill="1" applyAlignment="1">
      <alignment horizontal="left" vertical="center" indent="1"/>
    </xf>
    <xf numFmtId="0" fontId="14" fillId="6" borderId="0" xfId="11" applyFont="1" applyFill="1" applyBorder="1" applyAlignment="1">
      <alignment vertical="center"/>
    </xf>
    <xf numFmtId="9" fontId="1" fillId="6" borderId="0" xfId="2" applyFont="1" applyFill="1" applyBorder="1" applyAlignment="1">
      <alignment horizontal="center" vertical="center"/>
    </xf>
    <xf numFmtId="164" fontId="14"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4" fillId="3" borderId="6" xfId="12" applyFont="1" applyFill="1" applyBorder="1">
      <alignment horizontal="left" vertical="center" indent="2"/>
    </xf>
    <xf numFmtId="9" fontId="1" fillId="3" borderId="6" xfId="2" applyFont="1" applyFill="1" applyBorder="1" applyAlignment="1">
      <alignment horizontal="center" vertical="center"/>
    </xf>
    <xf numFmtId="164" fontId="14" fillId="3" borderId="6" xfId="10" applyFont="1" applyFill="1" applyBorder="1">
      <alignment horizontal="center" vertical="center"/>
    </xf>
    <xf numFmtId="0" fontId="4" fillId="0" borderId="4" xfId="0" applyFont="1" applyBorder="1" applyAlignment="1">
      <alignment vertical="center"/>
    </xf>
    <xf numFmtId="0" fontId="14" fillId="3" borderId="7" xfId="12" applyFont="1" applyFill="1" applyBorder="1">
      <alignment horizontal="left" vertical="center" indent="2"/>
    </xf>
    <xf numFmtId="0" fontId="14" fillId="3" borderId="7" xfId="11" applyFont="1" applyFill="1" applyBorder="1" applyAlignment="1">
      <alignment vertical="center"/>
    </xf>
    <xf numFmtId="164" fontId="14" fillId="3" borderId="7" xfId="10" applyFont="1" applyFill="1" applyBorder="1">
      <alignment horizontal="center" vertical="center"/>
    </xf>
    <xf numFmtId="0" fontId="4" fillId="0" borderId="4" xfId="0" applyFont="1" applyBorder="1" applyAlignment="1">
      <alignment horizontal="right" vertical="center"/>
    </xf>
    <xf numFmtId="0" fontId="18" fillId="7" borderId="0" xfId="0" applyFont="1" applyFill="1" applyAlignment="1">
      <alignment horizontal="left" vertical="center" indent="1"/>
    </xf>
    <xf numFmtId="0" fontId="14" fillId="7" borderId="0" xfId="11" applyFont="1" applyFill="1" applyBorder="1" applyAlignment="1">
      <alignment vertical="center"/>
    </xf>
    <xf numFmtId="9" fontId="1" fillId="7" borderId="0" xfId="2" applyFont="1" applyFill="1" applyBorder="1" applyAlignment="1">
      <alignment horizontal="center" vertical="center"/>
    </xf>
    <xf numFmtId="164" fontId="14"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4" fillId="4" borderId="5" xfId="12" applyFont="1" applyFill="1" applyBorder="1">
      <alignment horizontal="left" vertical="center" indent="2"/>
    </xf>
    <xf numFmtId="0" fontId="14" fillId="4" borderId="5" xfId="11" applyFont="1" applyFill="1" applyBorder="1" applyAlignment="1">
      <alignment vertical="center"/>
    </xf>
    <xf numFmtId="9" fontId="1" fillId="4" borderId="5" xfId="2" applyFont="1" applyFill="1" applyBorder="1" applyAlignment="1">
      <alignment horizontal="center" vertical="center"/>
    </xf>
    <xf numFmtId="164" fontId="14" fillId="4" borderId="5" xfId="10" applyFont="1" applyFill="1" applyBorder="1">
      <alignment horizontal="center" vertical="center"/>
    </xf>
    <xf numFmtId="0" fontId="18" fillId="8" borderId="0" xfId="0" applyFont="1" applyFill="1" applyAlignment="1">
      <alignment horizontal="left" vertical="center" indent="1"/>
    </xf>
    <xf numFmtId="0" fontId="14" fillId="8" borderId="0" xfId="11" applyFont="1" applyFill="1" applyBorder="1" applyAlignment="1">
      <alignment vertical="center"/>
    </xf>
    <xf numFmtId="9" fontId="1" fillId="8" borderId="0" xfId="2" applyFont="1" applyFill="1" applyBorder="1" applyAlignment="1">
      <alignment horizontal="center" vertical="center"/>
    </xf>
    <xf numFmtId="164" fontId="14"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4" fillId="5" borderId="8" xfId="12" applyFont="1" applyFill="1" applyBorder="1">
      <alignment horizontal="left" vertical="center" indent="2"/>
    </xf>
    <xf numFmtId="0" fontId="14" fillId="5" borderId="8" xfId="11" applyFont="1" applyFill="1" applyBorder="1" applyAlignment="1">
      <alignment vertical="center"/>
    </xf>
    <xf numFmtId="9" fontId="1" fillId="5" borderId="8" xfId="2" applyFont="1" applyFill="1" applyBorder="1" applyAlignment="1">
      <alignment horizontal="center" vertical="center"/>
    </xf>
    <xf numFmtId="164" fontId="14" fillId="5" borderId="8" xfId="10" applyFont="1" applyFill="1" applyBorder="1">
      <alignment horizontal="center" vertical="center"/>
    </xf>
    <xf numFmtId="0" fontId="18" fillId="9" borderId="0" xfId="0" applyFont="1" applyFill="1" applyAlignment="1">
      <alignment horizontal="left" vertical="center" indent="1"/>
    </xf>
    <xf numFmtId="0" fontId="14" fillId="9" borderId="0" xfId="11" applyFont="1" applyFill="1" applyBorder="1" applyAlignment="1">
      <alignment vertical="center"/>
    </xf>
    <xf numFmtId="9" fontId="1" fillId="9" borderId="0" xfId="2" applyFont="1" applyFill="1" applyBorder="1" applyAlignment="1">
      <alignment horizontal="center" vertical="center"/>
    </xf>
    <xf numFmtId="164" fontId="14"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4" fillId="10" borderId="9" xfId="12" applyFont="1" applyFill="1" applyBorder="1">
      <alignment horizontal="left" vertical="center" indent="2"/>
    </xf>
    <xf numFmtId="0" fontId="14" fillId="10" borderId="9" xfId="11" applyFont="1" applyFill="1" applyBorder="1" applyAlignment="1">
      <alignment vertical="center"/>
    </xf>
    <xf numFmtId="9" fontId="1" fillId="10" borderId="9" xfId="2" applyFont="1" applyFill="1" applyBorder="1" applyAlignment="1">
      <alignment horizontal="center" vertical="center"/>
    </xf>
    <xf numFmtId="164" fontId="14" fillId="10" borderId="9" xfId="10" applyFont="1" applyFill="1" applyBorder="1">
      <alignment horizontal="center" vertical="center"/>
    </xf>
    <xf numFmtId="0" fontId="14" fillId="0" borderId="0" xfId="12" applyFont="1" applyBorder="1">
      <alignment horizontal="left" vertical="center" indent="2"/>
    </xf>
    <xf numFmtId="0" fontId="14" fillId="0" borderId="0" xfId="11" applyFont="1" applyBorder="1" applyAlignment="1">
      <alignment vertical="center"/>
    </xf>
    <xf numFmtId="9" fontId="1" fillId="0" borderId="0" xfId="2" applyFont="1" applyBorder="1" applyAlignment="1">
      <alignment horizontal="center" vertical="center"/>
    </xf>
    <xf numFmtId="164" fontId="14" fillId="0" borderId="0" xfId="10" applyFont="1" applyBorder="1">
      <alignment horizontal="center" vertical="center"/>
    </xf>
    <xf numFmtId="0" fontId="19" fillId="0" borderId="0" xfId="7" applyFont="1" applyAlignment="1">
      <alignment horizontal="left" vertical="center" indent="1"/>
    </xf>
    <xf numFmtId="0" fontId="22" fillId="0" borderId="0" xfId="5" applyFont="1" applyAlignment="1">
      <alignment horizontal="left"/>
    </xf>
    <xf numFmtId="167" fontId="16" fillId="13" borderId="20" xfId="0" applyNumberFormat="1" applyFont="1" applyFill="1" applyBorder="1" applyAlignment="1">
      <alignment horizontal="center" vertical="center"/>
    </xf>
    <xf numFmtId="0" fontId="17" fillId="13" borderId="14" xfId="0" applyFont="1" applyFill="1" applyBorder="1" applyAlignment="1">
      <alignment horizontal="center" vertical="center" shrinkToFit="1"/>
    </xf>
    <xf numFmtId="0" fontId="4" fillId="14" borderId="0" xfId="0" applyFont="1" applyFill="1"/>
    <xf numFmtId="0" fontId="4" fillId="14" borderId="3" xfId="0" applyFont="1" applyFill="1" applyBorder="1" applyAlignment="1">
      <alignment vertical="center"/>
    </xf>
    <xf numFmtId="0" fontId="4" fillId="14" borderId="12" xfId="0" applyFont="1" applyFill="1" applyBorder="1" applyAlignment="1">
      <alignment vertical="center"/>
    </xf>
    <xf numFmtId="0" fontId="4" fillId="14" borderId="4" xfId="0" applyFont="1" applyFill="1" applyBorder="1" applyAlignment="1">
      <alignment vertical="center"/>
    </xf>
    <xf numFmtId="0" fontId="4" fillId="14" borderId="0" xfId="0" applyFont="1" applyFill="1" applyAlignment="1">
      <alignment vertical="center"/>
    </xf>
    <xf numFmtId="0" fontId="4" fillId="14" borderId="11" xfId="0" applyFont="1" applyFill="1" applyBorder="1" applyAlignment="1">
      <alignment vertical="center"/>
    </xf>
    <xf numFmtId="0" fontId="4" fillId="14" borderId="10" xfId="0" applyFont="1" applyFill="1" applyBorder="1" applyAlignment="1">
      <alignment vertical="center"/>
    </xf>
    <xf numFmtId="0" fontId="0" fillId="14" borderId="0" xfId="0" applyFill="1"/>
    <xf numFmtId="0" fontId="0" fillId="14" borderId="10" xfId="0" applyFill="1" applyBorder="1" applyAlignment="1">
      <alignment vertical="center"/>
    </xf>
    <xf numFmtId="0" fontId="0" fillId="14" borderId="11" xfId="0" applyFill="1" applyBorder="1" applyAlignment="1">
      <alignment vertical="center"/>
    </xf>
    <xf numFmtId="0" fontId="0" fillId="14" borderId="4" xfId="0" applyFill="1" applyBorder="1" applyAlignment="1">
      <alignment vertical="center"/>
    </xf>
    <xf numFmtId="0" fontId="0" fillId="14" borderId="3" xfId="0" applyFill="1" applyBorder="1" applyAlignment="1">
      <alignment vertical="center"/>
    </xf>
    <xf numFmtId="0" fontId="0" fillId="14" borderId="12" xfId="0" applyFill="1"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19" fillId="0" borderId="0" xfId="8" applyFont="1" applyAlignment="1">
      <alignment horizontal="left"/>
    </xf>
    <xf numFmtId="0" fontId="4" fillId="13" borderId="3" xfId="0" applyFont="1" applyFill="1" applyBorder="1" applyAlignment="1">
      <alignment vertical="center"/>
    </xf>
    <xf numFmtId="0" fontId="4" fillId="13" borderId="12" xfId="0" applyFont="1" applyFill="1" applyBorder="1" applyAlignment="1">
      <alignment vertical="center"/>
    </xf>
    <xf numFmtId="0" fontId="4" fillId="13" borderId="4" xfId="0" applyFont="1" applyFill="1" applyBorder="1" applyAlignment="1">
      <alignment vertical="center"/>
    </xf>
    <xf numFmtId="0" fontId="4" fillId="13" borderId="0" xfId="0" applyFont="1" applyFill="1" applyAlignment="1">
      <alignment vertical="center"/>
    </xf>
    <xf numFmtId="0" fontId="4" fillId="13" borderId="11" xfId="0" applyFont="1" applyFill="1" applyBorder="1" applyAlignment="1">
      <alignment vertical="center"/>
    </xf>
    <xf numFmtId="0" fontId="4" fillId="13" borderId="10" xfId="0" applyFont="1" applyFill="1" applyBorder="1" applyAlignment="1">
      <alignment vertical="center"/>
    </xf>
    <xf numFmtId="0" fontId="24" fillId="0" borderId="0" xfId="0" applyFont="1"/>
    <xf numFmtId="0" fontId="25" fillId="0" borderId="0" xfId="6" applyFont="1" applyAlignment="1">
      <alignment horizontal="left" vertical="center" indent="1"/>
    </xf>
    <xf numFmtId="0" fontId="19" fillId="0" borderId="0" xfId="8" applyFont="1" applyAlignment="1">
      <alignment horizontal="left"/>
    </xf>
    <xf numFmtId="0" fontId="4" fillId="0" borderId="0" xfId="0" applyFont="1"/>
    <xf numFmtId="165" fontId="20" fillId="0" borderId="0" xfId="9" applyFont="1" applyBorder="1" applyAlignment="1">
      <alignment horizontal="left"/>
    </xf>
    <xf numFmtId="0" fontId="21" fillId="0" borderId="0" xfId="0" applyFont="1"/>
    <xf numFmtId="0" fontId="9" fillId="0" borderId="0" xfId="3" applyAlignment="1">
      <alignment wrapText="1"/>
    </xf>
    <xf numFmtId="0" fontId="15"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5" fillId="11" borderId="16" xfId="0" applyFont="1" applyFill="1" applyBorder="1" applyAlignment="1">
      <alignment vertical="center"/>
    </xf>
    <xf numFmtId="0" fontId="4" fillId="2" borderId="21" xfId="0" applyFont="1" applyFill="1" applyBorder="1"/>
    <xf numFmtId="0" fontId="15" fillId="11" borderId="16" xfId="0" applyFont="1" applyFill="1" applyBorder="1" applyAlignment="1">
      <alignment horizontal="center" vertical="center"/>
    </xf>
    <xf numFmtId="0" fontId="20" fillId="0" borderId="0" xfId="0" applyFont="1" applyAlignment="1">
      <alignment horizontal="left"/>
    </xf>
    <xf numFmtId="166" fontId="14" fillId="2" borderId="13" xfId="0" applyNumberFormat="1" applyFont="1" applyFill="1" applyBorder="1" applyAlignment="1">
      <alignment horizontal="center" vertical="center" wrapText="1"/>
    </xf>
    <xf numFmtId="166" fontId="14" fillId="2" borderId="19" xfId="0" applyNumberFormat="1" applyFont="1" applyFill="1" applyBorder="1" applyAlignment="1">
      <alignment horizontal="center" vertical="center" wrapText="1"/>
    </xf>
    <xf numFmtId="166" fontId="14"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115294</xdr:colOff>
      <xdr:row>10</xdr:row>
      <xdr:rowOff>94670</xdr:rowOff>
    </xdr:from>
    <xdr:to>
      <xdr:col>24</xdr:col>
      <xdr:colOff>91772</xdr:colOff>
      <xdr:row>10</xdr:row>
      <xdr:rowOff>287075</xdr:rowOff>
    </xdr:to>
    <xdr:pic>
      <xdr:nvPicPr>
        <xdr:cNvPr id="2" name="Picture 1">
          <a:extLst>
            <a:ext uri="{FF2B5EF4-FFF2-40B4-BE49-F238E27FC236}">
              <a16:creationId xmlns:a16="http://schemas.microsoft.com/office/drawing/2014/main" id="{C3A90023-B694-5CB8-6293-DD1E9D1F1B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577" y="3904670"/>
          <a:ext cx="163830" cy="179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196663</xdr:colOff>
      <xdr:row>17</xdr:row>
      <xdr:rowOff>137833</xdr:rowOff>
    </xdr:from>
    <xdr:to>
      <xdr:col>56</xdr:col>
      <xdr:colOff>130212</xdr:colOff>
      <xdr:row>17</xdr:row>
      <xdr:rowOff>320713</xdr:rowOff>
    </xdr:to>
    <xdr:pic>
      <xdr:nvPicPr>
        <xdr:cNvPr id="3" name="Picture 2">
          <a:extLst>
            <a:ext uri="{FF2B5EF4-FFF2-40B4-BE49-F238E27FC236}">
              <a16:creationId xmlns:a16="http://schemas.microsoft.com/office/drawing/2014/main" id="{DBAFF03B-1F71-45DB-BA59-17B06FDE6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14869" y="6614833"/>
          <a:ext cx="142875" cy="17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42134</xdr:colOff>
      <xdr:row>11</xdr:row>
      <xdr:rowOff>78553</xdr:rowOff>
    </xdr:from>
    <xdr:to>
      <xdr:col>31</xdr:col>
      <xdr:colOff>191742</xdr:colOff>
      <xdr:row>11</xdr:row>
      <xdr:rowOff>263338</xdr:rowOff>
    </xdr:to>
    <xdr:pic>
      <xdr:nvPicPr>
        <xdr:cNvPr id="6" name="Picture 5">
          <a:extLst>
            <a:ext uri="{FF2B5EF4-FFF2-40B4-BE49-F238E27FC236}">
              <a16:creationId xmlns:a16="http://schemas.microsoft.com/office/drawing/2014/main" id="{B9D27E32-9274-46D7-BF49-8EEC59705D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19399" y="4269553"/>
          <a:ext cx="149608" cy="184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2237</xdr:colOff>
      <xdr:row>10</xdr:row>
      <xdr:rowOff>271835</xdr:rowOff>
    </xdr:from>
    <xdr:to>
      <xdr:col>24</xdr:col>
      <xdr:colOff>5345</xdr:colOff>
      <xdr:row>13</xdr:row>
      <xdr:rowOff>225914</xdr:rowOff>
    </xdr:to>
    <xdr:cxnSp macro="">
      <xdr:nvCxnSpPr>
        <xdr:cNvPr id="8" name="Straight Arrow Connector 7">
          <a:extLst>
            <a:ext uri="{FF2B5EF4-FFF2-40B4-BE49-F238E27FC236}">
              <a16:creationId xmlns:a16="http://schemas.microsoft.com/office/drawing/2014/main" id="{081F8D39-2863-7E9D-C085-93E06E29D4BE}"/>
            </a:ext>
          </a:extLst>
        </xdr:cNvPr>
        <xdr:cNvCxnSpPr>
          <a:stCxn id="2" idx="2"/>
        </xdr:cNvCxnSpPr>
      </xdr:nvCxnSpPr>
      <xdr:spPr>
        <a:xfrm>
          <a:off x="11639302" y="4081835"/>
          <a:ext cx="3108" cy="10970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59</xdr:col>
      <xdr:colOff>107129</xdr:colOff>
      <xdr:row>19</xdr:row>
      <xdr:rowOff>91888</xdr:rowOff>
    </xdr:from>
    <xdr:to>
      <xdr:col>60</xdr:col>
      <xdr:colOff>72839</xdr:colOff>
      <xdr:row>19</xdr:row>
      <xdr:rowOff>246193</xdr:rowOff>
    </xdr:to>
    <xdr:pic>
      <xdr:nvPicPr>
        <xdr:cNvPr id="11" name="Picture 10">
          <a:extLst>
            <a:ext uri="{FF2B5EF4-FFF2-40B4-BE49-F238E27FC236}">
              <a16:creationId xmlns:a16="http://schemas.microsoft.com/office/drawing/2014/main" id="{584B4DED-C9B3-427F-95D9-91D740193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32158" y="7330888"/>
          <a:ext cx="167416" cy="16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49</xdr:col>
      <xdr:colOff>33297</xdr:colOff>
      <xdr:row>16</xdr:row>
      <xdr:rowOff>109330</xdr:rowOff>
    </xdr:from>
    <xdr:to>
      <xdr:col>49</xdr:col>
      <xdr:colOff>174929</xdr:colOff>
      <xdr:row>16</xdr:row>
      <xdr:rowOff>286495</xdr:rowOff>
    </xdr:to>
    <xdr:pic>
      <xdr:nvPicPr>
        <xdr:cNvPr id="13" name="Picture 12">
          <a:extLst>
            <a:ext uri="{FF2B5EF4-FFF2-40B4-BE49-F238E27FC236}">
              <a16:creationId xmlns:a16="http://schemas.microsoft.com/office/drawing/2014/main" id="{C02DAFD8-CE1C-47B1-AF0F-DEC679291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39927" y="6205330"/>
          <a:ext cx="153062" cy="17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61</xdr:col>
      <xdr:colOff>100910</xdr:colOff>
      <xdr:row>20</xdr:row>
      <xdr:rowOff>71746</xdr:rowOff>
    </xdr:from>
    <xdr:to>
      <xdr:col>62</xdr:col>
      <xdr:colOff>64715</xdr:colOff>
      <xdr:row>20</xdr:row>
      <xdr:rowOff>267961</xdr:rowOff>
    </xdr:to>
    <xdr:pic>
      <xdr:nvPicPr>
        <xdr:cNvPr id="14" name="Picture 13">
          <a:extLst>
            <a:ext uri="{FF2B5EF4-FFF2-40B4-BE49-F238E27FC236}">
              <a16:creationId xmlns:a16="http://schemas.microsoft.com/office/drawing/2014/main" id="{AE51FD37-682B-4746-BD06-A4BF45069C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81879" y="7691746"/>
          <a:ext cx="170021" cy="19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27664</xdr:colOff>
      <xdr:row>13</xdr:row>
      <xdr:rowOff>92765</xdr:rowOff>
    </xdr:from>
    <xdr:to>
      <xdr:col>26</xdr:col>
      <xdr:colOff>173687</xdr:colOff>
      <xdr:row>13</xdr:row>
      <xdr:rowOff>283265</xdr:rowOff>
    </xdr:to>
    <xdr:pic>
      <xdr:nvPicPr>
        <xdr:cNvPr id="15" name="Picture 14">
          <a:extLst>
            <a:ext uri="{FF2B5EF4-FFF2-40B4-BE49-F238E27FC236}">
              <a16:creationId xmlns:a16="http://schemas.microsoft.com/office/drawing/2014/main" id="{3B7A61E8-EE47-49C4-B443-EC85AADABF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76789" y="5045765"/>
          <a:ext cx="149833" cy="194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56</xdr:col>
      <xdr:colOff>65442</xdr:colOff>
      <xdr:row>17</xdr:row>
      <xdr:rowOff>313093</xdr:rowOff>
    </xdr:from>
    <xdr:to>
      <xdr:col>56</xdr:col>
      <xdr:colOff>67235</xdr:colOff>
      <xdr:row>19</xdr:row>
      <xdr:rowOff>257735</xdr:rowOff>
    </xdr:to>
    <xdr:cxnSp macro="">
      <xdr:nvCxnSpPr>
        <xdr:cNvPr id="16" name="Straight Arrow Connector 15">
          <a:extLst>
            <a:ext uri="{FF2B5EF4-FFF2-40B4-BE49-F238E27FC236}">
              <a16:creationId xmlns:a16="http://schemas.microsoft.com/office/drawing/2014/main" id="{E61578A2-CC94-40D9-8C0A-87743882C6D6}"/>
            </a:ext>
          </a:extLst>
        </xdr:cNvPr>
        <xdr:cNvCxnSpPr>
          <a:stCxn id="3" idx="2"/>
        </xdr:cNvCxnSpPr>
      </xdr:nvCxnSpPr>
      <xdr:spPr>
        <a:xfrm>
          <a:off x="18185354" y="6790093"/>
          <a:ext cx="1793" cy="70664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56029</xdr:colOff>
      <xdr:row>19</xdr:row>
      <xdr:rowOff>200250</xdr:rowOff>
    </xdr:from>
    <xdr:to>
      <xdr:col>59</xdr:col>
      <xdr:colOff>133126</xdr:colOff>
      <xdr:row>19</xdr:row>
      <xdr:rowOff>212912</xdr:rowOff>
    </xdr:to>
    <xdr:cxnSp macro="">
      <xdr:nvCxnSpPr>
        <xdr:cNvPr id="19" name="Straight Arrow Connector 18">
          <a:extLst>
            <a:ext uri="{FF2B5EF4-FFF2-40B4-BE49-F238E27FC236}">
              <a16:creationId xmlns:a16="http://schemas.microsoft.com/office/drawing/2014/main" id="{D256ED1F-E212-4D24-98C0-9325EF0CF245}"/>
            </a:ext>
          </a:extLst>
        </xdr:cNvPr>
        <xdr:cNvCxnSpPr/>
      </xdr:nvCxnSpPr>
      <xdr:spPr>
        <a:xfrm flipV="1">
          <a:off x="18175941" y="7439250"/>
          <a:ext cx="682214" cy="126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178593</xdr:colOff>
      <xdr:row>25</xdr:row>
      <xdr:rowOff>178594</xdr:rowOff>
    </xdr:from>
    <xdr:to>
      <xdr:col>63</xdr:col>
      <xdr:colOff>127162</xdr:colOff>
      <xdr:row>25</xdr:row>
      <xdr:rowOff>179009</xdr:rowOff>
    </xdr:to>
    <xdr:cxnSp macro="">
      <xdr:nvCxnSpPr>
        <xdr:cNvPr id="22" name="Straight Arrow Connector 21">
          <a:extLst>
            <a:ext uri="{FF2B5EF4-FFF2-40B4-BE49-F238E27FC236}">
              <a16:creationId xmlns:a16="http://schemas.microsoft.com/office/drawing/2014/main" id="{44E4FBE3-0052-4B9A-B2FE-6040175CFCF2}"/>
            </a:ext>
          </a:extLst>
        </xdr:cNvPr>
        <xdr:cNvCxnSpPr>
          <a:endCxn id="40" idx="1"/>
        </xdr:cNvCxnSpPr>
      </xdr:nvCxnSpPr>
      <xdr:spPr>
        <a:xfrm>
          <a:off x="19359562" y="9703594"/>
          <a:ext cx="353381" cy="4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8283</xdr:colOff>
      <xdr:row>13</xdr:row>
      <xdr:rowOff>189920</xdr:rowOff>
    </xdr:from>
    <xdr:to>
      <xdr:col>26</xdr:col>
      <xdr:colOff>25759</xdr:colOff>
      <xdr:row>13</xdr:row>
      <xdr:rowOff>198783</xdr:rowOff>
    </xdr:to>
    <xdr:cxnSp macro="">
      <xdr:nvCxnSpPr>
        <xdr:cNvPr id="30" name="Straight Arrow Connector 29">
          <a:extLst>
            <a:ext uri="{FF2B5EF4-FFF2-40B4-BE49-F238E27FC236}">
              <a16:creationId xmlns:a16="http://schemas.microsoft.com/office/drawing/2014/main" id="{E256C794-9B7C-48AA-A42A-9F2FA4BC63E2}"/>
            </a:ext>
          </a:extLst>
        </xdr:cNvPr>
        <xdr:cNvCxnSpPr>
          <a:endCxn id="15" idx="1"/>
        </xdr:cNvCxnSpPr>
      </xdr:nvCxnSpPr>
      <xdr:spPr>
        <a:xfrm flipV="1">
          <a:off x="11645348" y="5142920"/>
          <a:ext cx="415041" cy="88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112059</xdr:colOff>
      <xdr:row>16</xdr:row>
      <xdr:rowOff>168088</xdr:rowOff>
    </xdr:from>
    <xdr:to>
      <xdr:col>49</xdr:col>
      <xdr:colOff>31392</xdr:colOff>
      <xdr:row>16</xdr:row>
      <xdr:rowOff>195055</xdr:rowOff>
    </xdr:to>
    <xdr:cxnSp macro="">
      <xdr:nvCxnSpPr>
        <xdr:cNvPr id="31" name="Straight Arrow Connector 30">
          <a:extLst>
            <a:ext uri="{FF2B5EF4-FFF2-40B4-BE49-F238E27FC236}">
              <a16:creationId xmlns:a16="http://schemas.microsoft.com/office/drawing/2014/main" id="{D100DB4C-BD16-4BC9-B979-FEAA8B0EE910}"/>
            </a:ext>
          </a:extLst>
        </xdr:cNvPr>
        <xdr:cNvCxnSpPr>
          <a:endCxn id="13" idx="1"/>
        </xdr:cNvCxnSpPr>
      </xdr:nvCxnSpPr>
      <xdr:spPr>
        <a:xfrm>
          <a:off x="13189324" y="6264088"/>
          <a:ext cx="3550039" cy="26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93545</xdr:colOff>
      <xdr:row>11</xdr:row>
      <xdr:rowOff>188258</xdr:rowOff>
    </xdr:from>
    <xdr:to>
      <xdr:col>31</xdr:col>
      <xdr:colOff>103069</xdr:colOff>
      <xdr:row>16</xdr:row>
      <xdr:rowOff>143283</xdr:rowOff>
    </xdr:to>
    <xdr:cxnSp macro="">
      <xdr:nvCxnSpPr>
        <xdr:cNvPr id="36" name="Straight Arrow Connector 35">
          <a:extLst>
            <a:ext uri="{FF2B5EF4-FFF2-40B4-BE49-F238E27FC236}">
              <a16:creationId xmlns:a16="http://schemas.microsoft.com/office/drawing/2014/main" id="{C61090B1-37A8-4756-9ECE-ADDA4A517D24}"/>
            </a:ext>
          </a:extLst>
        </xdr:cNvPr>
        <xdr:cNvCxnSpPr/>
      </xdr:nvCxnSpPr>
      <xdr:spPr>
        <a:xfrm flipH="1">
          <a:off x="13170810" y="4379258"/>
          <a:ext cx="9524" cy="1860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63</xdr:col>
      <xdr:colOff>125257</xdr:colOff>
      <xdr:row>25</xdr:row>
      <xdr:rowOff>94236</xdr:rowOff>
    </xdr:from>
    <xdr:to>
      <xdr:col>64</xdr:col>
      <xdr:colOff>96682</xdr:colOff>
      <xdr:row>25</xdr:row>
      <xdr:rowOff>258066</xdr:rowOff>
    </xdr:to>
    <xdr:pic>
      <xdr:nvPicPr>
        <xdr:cNvPr id="40" name="Picture 39">
          <a:extLst>
            <a:ext uri="{FF2B5EF4-FFF2-40B4-BE49-F238E27FC236}">
              <a16:creationId xmlns:a16="http://schemas.microsoft.com/office/drawing/2014/main" id="{686B2B4C-89FC-47C9-A709-1F951F9D3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1038" y="9619236"/>
          <a:ext cx="166212" cy="16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61</xdr:col>
      <xdr:colOff>173802</xdr:colOff>
      <xdr:row>20</xdr:row>
      <xdr:rowOff>206978</xdr:rowOff>
    </xdr:from>
    <xdr:to>
      <xdr:col>61</xdr:col>
      <xdr:colOff>184547</xdr:colOff>
      <xdr:row>25</xdr:row>
      <xdr:rowOff>220266</xdr:rowOff>
    </xdr:to>
    <xdr:cxnSp macro="">
      <xdr:nvCxnSpPr>
        <xdr:cNvPr id="41" name="Straight Arrow Connector 40">
          <a:extLst>
            <a:ext uri="{FF2B5EF4-FFF2-40B4-BE49-F238E27FC236}">
              <a16:creationId xmlns:a16="http://schemas.microsoft.com/office/drawing/2014/main" id="{E4751CED-3E11-4969-AB59-0EE36AE80C52}"/>
            </a:ext>
          </a:extLst>
        </xdr:cNvPr>
        <xdr:cNvCxnSpPr/>
      </xdr:nvCxnSpPr>
      <xdr:spPr>
        <a:xfrm>
          <a:off x="19354771" y="7826978"/>
          <a:ext cx="10745" cy="19182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G37"/>
  <sheetViews>
    <sheetView showGridLines="0" tabSelected="1" showRuler="0" topLeftCell="A2" zoomScale="85" zoomScaleNormal="85" zoomScalePageLayoutView="70" workbookViewId="0">
      <selection activeCell="E3" sqref="E3"/>
    </sheetView>
  </sheetViews>
  <sheetFormatPr defaultColWidth="8.59765625" defaultRowHeight="30" customHeight="1" x14ac:dyDescent="0.25"/>
  <cols>
    <col min="1" max="1" width="2.59765625" style="6" customWidth="1"/>
    <col min="2" max="2" width="57.09765625" customWidth="1"/>
    <col min="3" max="3" width="16.59765625" customWidth="1"/>
    <col min="4" max="4" width="10.59765625" customWidth="1"/>
    <col min="5" max="5" width="10.59765625" style="2" customWidth="1"/>
    <col min="6" max="6" width="10.59765625" customWidth="1"/>
    <col min="7" max="7" width="2.59765625" customWidth="1"/>
    <col min="8" max="8" width="6" hidden="1" customWidth="1"/>
    <col min="9" max="23" width="2.59765625" customWidth="1"/>
    <col min="24" max="24" width="2.59765625" style="91" customWidth="1"/>
    <col min="25" max="25" width="2.59765625" customWidth="1"/>
    <col min="26" max="26" width="2.59765625" style="91" customWidth="1"/>
    <col min="27" max="85" width="2.59765625" customWidth="1"/>
  </cols>
  <sheetData>
    <row r="1" spans="1:85" ht="90" customHeight="1" x14ac:dyDescent="0.9">
      <c r="A1" s="7"/>
      <c r="B1" s="81" t="s">
        <v>0</v>
      </c>
      <c r="C1" s="80" t="s">
        <v>1</v>
      </c>
      <c r="D1" s="11"/>
      <c r="E1" s="12"/>
      <c r="F1" s="13"/>
      <c r="H1" s="1"/>
      <c r="I1" s="108" t="s">
        <v>2</v>
      </c>
      <c r="J1" s="109"/>
      <c r="K1" s="109"/>
      <c r="L1" s="109"/>
      <c r="M1" s="109"/>
      <c r="N1" s="109"/>
      <c r="O1" s="109"/>
      <c r="P1" s="16"/>
      <c r="Q1" s="110">
        <f>DATE(2026,2,25)</f>
        <v>46078</v>
      </c>
      <c r="R1" s="111"/>
      <c r="S1" s="111"/>
      <c r="T1" s="111"/>
      <c r="U1" s="111"/>
      <c r="V1" s="111"/>
      <c r="W1" s="111"/>
      <c r="X1" s="111"/>
      <c r="Y1" s="111"/>
      <c r="Z1" s="111"/>
      <c r="AA1" s="108" t="s">
        <v>3</v>
      </c>
      <c r="AB1" s="109"/>
      <c r="AC1" s="109"/>
      <c r="AD1" s="109"/>
      <c r="AE1" s="109"/>
      <c r="AF1" s="109"/>
      <c r="AG1" s="109"/>
      <c r="AH1" s="99"/>
      <c r="AI1" s="110">
        <f>DATE(2026,5,8)</f>
        <v>46150</v>
      </c>
      <c r="AJ1" s="111"/>
      <c r="AK1" s="111"/>
      <c r="AL1" s="111"/>
      <c r="AM1" s="111"/>
      <c r="AN1" s="111"/>
      <c r="AO1" s="111"/>
      <c r="AP1" s="111"/>
      <c r="AQ1" s="111"/>
      <c r="AR1" s="111"/>
    </row>
    <row r="2" spans="1:85" ht="30" customHeight="1" x14ac:dyDescent="0.6">
      <c r="B2" s="107" t="s">
        <v>4</v>
      </c>
      <c r="C2" s="106" t="s">
        <v>46</v>
      </c>
      <c r="D2" s="14"/>
      <c r="E2" s="15"/>
      <c r="F2" s="14"/>
      <c r="I2" s="108" t="s">
        <v>5</v>
      </c>
      <c r="J2" s="109"/>
      <c r="K2" s="109"/>
      <c r="L2" s="109"/>
      <c r="M2" s="109"/>
      <c r="N2" s="109"/>
      <c r="O2" s="109"/>
      <c r="P2" s="16"/>
      <c r="Q2" s="118">
        <v>1</v>
      </c>
      <c r="R2" s="111"/>
      <c r="S2" s="111"/>
      <c r="T2" s="111"/>
      <c r="U2" s="111"/>
      <c r="V2" s="111"/>
      <c r="W2" s="111"/>
      <c r="X2" s="111"/>
      <c r="Y2" s="111"/>
      <c r="Z2" s="111"/>
    </row>
    <row r="3" spans="1:85" s="18" customFormat="1" ht="30" customHeight="1" x14ac:dyDescent="0.25">
      <c r="A3" s="6"/>
      <c r="B3" s="17" t="s">
        <v>6</v>
      </c>
      <c r="D3" s="19"/>
      <c r="E3" s="20"/>
      <c r="X3" s="84"/>
      <c r="Z3" s="84"/>
    </row>
    <row r="4" spans="1:85" s="18" customFormat="1" ht="30" customHeight="1" x14ac:dyDescent="0.25">
      <c r="A4" s="7"/>
      <c r="B4" s="21" t="s">
        <v>7</v>
      </c>
      <c r="E4" s="22"/>
      <c r="I4" s="121">
        <f>I5</f>
        <v>46076</v>
      </c>
      <c r="J4" s="119"/>
      <c r="K4" s="119"/>
      <c r="L4" s="119"/>
      <c r="M4" s="119"/>
      <c r="N4" s="119"/>
      <c r="O4" s="119"/>
      <c r="P4" s="119">
        <f>P5</f>
        <v>46083</v>
      </c>
      <c r="Q4" s="119"/>
      <c r="R4" s="119"/>
      <c r="S4" s="119"/>
      <c r="T4" s="119"/>
      <c r="U4" s="119"/>
      <c r="V4" s="119"/>
      <c r="W4" s="119">
        <f>W5</f>
        <v>46090</v>
      </c>
      <c r="X4" s="119"/>
      <c r="Y4" s="119"/>
      <c r="Z4" s="119"/>
      <c r="AA4" s="119"/>
      <c r="AB4" s="119"/>
      <c r="AC4" s="119"/>
      <c r="AD4" s="119">
        <f>AD5</f>
        <v>46097</v>
      </c>
      <c r="AE4" s="119"/>
      <c r="AF4" s="119"/>
      <c r="AG4" s="119"/>
      <c r="AH4" s="119"/>
      <c r="AI4" s="119"/>
      <c r="AJ4" s="119"/>
      <c r="AK4" s="119">
        <f>AK5</f>
        <v>46104</v>
      </c>
      <c r="AL4" s="119"/>
      <c r="AM4" s="119"/>
      <c r="AN4" s="119"/>
      <c r="AO4" s="119"/>
      <c r="AP4" s="119"/>
      <c r="AQ4" s="119"/>
      <c r="AR4" s="119">
        <f>AR5</f>
        <v>46111</v>
      </c>
      <c r="AS4" s="119"/>
      <c r="AT4" s="119"/>
      <c r="AU4" s="119"/>
      <c r="AV4" s="119"/>
      <c r="AW4" s="119"/>
      <c r="AX4" s="119"/>
      <c r="AY4" s="119">
        <f>AY5</f>
        <v>46118</v>
      </c>
      <c r="AZ4" s="119"/>
      <c r="BA4" s="119"/>
      <c r="BB4" s="119"/>
      <c r="BC4" s="119"/>
      <c r="BD4" s="119"/>
      <c r="BE4" s="119"/>
      <c r="BF4" s="119">
        <f>BF5</f>
        <v>46125</v>
      </c>
      <c r="BG4" s="119"/>
      <c r="BH4" s="119"/>
      <c r="BI4" s="119"/>
      <c r="BJ4" s="119"/>
      <c r="BK4" s="119"/>
      <c r="BL4" s="120"/>
      <c r="BM4" s="119">
        <f>BM5</f>
        <v>46132</v>
      </c>
      <c r="BN4" s="119"/>
      <c r="BO4" s="119"/>
      <c r="BP4" s="119"/>
      <c r="BQ4" s="119"/>
      <c r="BR4" s="119"/>
      <c r="BS4" s="120"/>
      <c r="BT4" s="119">
        <f>BT5</f>
        <v>46139</v>
      </c>
      <c r="BU4" s="119"/>
      <c r="BV4" s="119"/>
      <c r="BW4" s="119"/>
      <c r="BX4" s="119"/>
      <c r="BY4" s="119"/>
      <c r="BZ4" s="120"/>
      <c r="CA4" s="119">
        <f>CA5</f>
        <v>46146</v>
      </c>
      <c r="CB4" s="119"/>
      <c r="CC4" s="119"/>
      <c r="CD4" s="119"/>
      <c r="CE4" s="119"/>
      <c r="CF4" s="119"/>
      <c r="CG4" s="120"/>
    </row>
    <row r="5" spans="1:85" s="18" customFormat="1" ht="15" customHeight="1" x14ac:dyDescent="0.25">
      <c r="A5" s="112"/>
      <c r="B5" s="113" t="s">
        <v>8</v>
      </c>
      <c r="C5" s="115" t="s">
        <v>9</v>
      </c>
      <c r="D5" s="117" t="s">
        <v>10</v>
      </c>
      <c r="E5" s="117" t="s">
        <v>11</v>
      </c>
      <c r="F5" s="117" t="s">
        <v>12</v>
      </c>
      <c r="I5" s="23">
        <f>Project_Start-WEEKDAY(Project_Start,1)+2+7*(Display_Week-1)</f>
        <v>46076</v>
      </c>
      <c r="J5" s="23">
        <f>I5+1</f>
        <v>46077</v>
      </c>
      <c r="K5" s="23">
        <f t="shared" ref="K5:AX5" si="0">J5+1</f>
        <v>46078</v>
      </c>
      <c r="L5" s="23">
        <f t="shared" si="0"/>
        <v>46079</v>
      </c>
      <c r="M5" s="23">
        <f t="shared" si="0"/>
        <v>46080</v>
      </c>
      <c r="N5" s="23">
        <f t="shared" si="0"/>
        <v>46081</v>
      </c>
      <c r="O5" s="24">
        <f t="shared" si="0"/>
        <v>46082</v>
      </c>
      <c r="P5" s="25">
        <f>O5+1</f>
        <v>46083</v>
      </c>
      <c r="Q5" s="23">
        <f>P5+1</f>
        <v>46084</v>
      </c>
      <c r="R5" s="23">
        <f>Q5+1</f>
        <v>46085</v>
      </c>
      <c r="S5" s="23">
        <f t="shared" si="0"/>
        <v>46086</v>
      </c>
      <c r="T5" s="23">
        <f t="shared" si="0"/>
        <v>46087</v>
      </c>
      <c r="U5" s="23">
        <f t="shared" si="0"/>
        <v>46088</v>
      </c>
      <c r="V5" s="24">
        <f t="shared" si="0"/>
        <v>46089</v>
      </c>
      <c r="W5" s="25">
        <f>V5+1</f>
        <v>46090</v>
      </c>
      <c r="X5" s="25">
        <f>W5+1</f>
        <v>46091</v>
      </c>
      <c r="Y5" s="23">
        <f t="shared" si="0"/>
        <v>46092</v>
      </c>
      <c r="Z5" s="23">
        <f t="shared" si="0"/>
        <v>46093</v>
      </c>
      <c r="AA5" s="23">
        <f t="shared" si="0"/>
        <v>46094</v>
      </c>
      <c r="AB5" s="23">
        <f t="shared" si="0"/>
        <v>46095</v>
      </c>
      <c r="AC5" s="24">
        <f t="shared" si="0"/>
        <v>46096</v>
      </c>
      <c r="AD5" s="25">
        <f>AC5+1</f>
        <v>46097</v>
      </c>
      <c r="AE5" s="23">
        <f>AD5+1</f>
        <v>46098</v>
      </c>
      <c r="AF5" s="23">
        <f t="shared" si="0"/>
        <v>46099</v>
      </c>
      <c r="AG5" s="23">
        <f t="shared" si="0"/>
        <v>46100</v>
      </c>
      <c r="AH5" s="23">
        <f t="shared" ref="AH5" si="1">AG5+1</f>
        <v>46101</v>
      </c>
      <c r="AI5" s="23">
        <f t="shared" ref="AI5" si="2">AH5+1</f>
        <v>46102</v>
      </c>
      <c r="AJ5" s="23">
        <f t="shared" ref="AJ5" si="3">AI5+1</f>
        <v>46103</v>
      </c>
      <c r="AK5" s="25">
        <f>AJ5+1</f>
        <v>46104</v>
      </c>
      <c r="AL5" s="23">
        <f>AK5+1</f>
        <v>46105</v>
      </c>
      <c r="AM5" s="23">
        <f t="shared" si="0"/>
        <v>46106</v>
      </c>
      <c r="AN5" s="23">
        <f t="shared" si="0"/>
        <v>46107</v>
      </c>
      <c r="AO5" s="23">
        <f t="shared" si="0"/>
        <v>46108</v>
      </c>
      <c r="AP5" s="23">
        <f t="shared" si="0"/>
        <v>46109</v>
      </c>
      <c r="AQ5" s="24">
        <f t="shared" si="0"/>
        <v>46110</v>
      </c>
      <c r="AR5" s="25">
        <f>AQ5+1</f>
        <v>46111</v>
      </c>
      <c r="AS5" s="25">
        <f>AR5+1</f>
        <v>46112</v>
      </c>
      <c r="AT5" s="23">
        <f t="shared" si="0"/>
        <v>46113</v>
      </c>
      <c r="AU5" s="23">
        <f t="shared" si="0"/>
        <v>46114</v>
      </c>
      <c r="AV5" s="23">
        <f t="shared" si="0"/>
        <v>46115</v>
      </c>
      <c r="AW5" s="23">
        <f t="shared" si="0"/>
        <v>46116</v>
      </c>
      <c r="AX5" s="24">
        <f t="shared" si="0"/>
        <v>46117</v>
      </c>
      <c r="AY5" s="25">
        <f>AX5+1</f>
        <v>46118</v>
      </c>
      <c r="AZ5" s="23">
        <f>AY5+1</f>
        <v>46119</v>
      </c>
      <c r="BA5" s="23">
        <f t="shared" ref="BA5:BE5" si="4">AZ5+1</f>
        <v>46120</v>
      </c>
      <c r="BB5" s="23">
        <f t="shared" si="4"/>
        <v>46121</v>
      </c>
      <c r="BC5" s="23">
        <f t="shared" si="4"/>
        <v>46122</v>
      </c>
      <c r="BD5" s="23">
        <f t="shared" si="4"/>
        <v>46123</v>
      </c>
      <c r="BE5" s="24">
        <f t="shared" si="4"/>
        <v>46124</v>
      </c>
      <c r="BF5" s="25">
        <f>BE5+1</f>
        <v>46125</v>
      </c>
      <c r="BG5" s="23">
        <f>BF5+1</f>
        <v>46126</v>
      </c>
      <c r="BH5" s="23">
        <f t="shared" ref="BH5:BL5" si="5">BG5+1</f>
        <v>46127</v>
      </c>
      <c r="BI5" s="23">
        <f t="shared" si="5"/>
        <v>46128</v>
      </c>
      <c r="BJ5" s="23">
        <f t="shared" si="5"/>
        <v>46129</v>
      </c>
      <c r="BK5" s="23">
        <f t="shared" si="5"/>
        <v>46130</v>
      </c>
      <c r="BL5" s="23">
        <f t="shared" si="5"/>
        <v>46131</v>
      </c>
      <c r="BM5" s="25">
        <f>BL5+1</f>
        <v>46132</v>
      </c>
      <c r="BN5" s="23">
        <f>BM5+1</f>
        <v>46133</v>
      </c>
      <c r="BO5" s="23">
        <f t="shared" ref="BO5" si="6">BN5+1</f>
        <v>46134</v>
      </c>
      <c r="BP5" s="23">
        <f t="shared" ref="BP5" si="7">BO5+1</f>
        <v>46135</v>
      </c>
      <c r="BQ5" s="23">
        <f t="shared" ref="BQ5" si="8">BP5+1</f>
        <v>46136</v>
      </c>
      <c r="BR5" s="23">
        <f t="shared" ref="BR5" si="9">BQ5+1</f>
        <v>46137</v>
      </c>
      <c r="BS5" s="23">
        <f t="shared" ref="BS5" si="10">BR5+1</f>
        <v>46138</v>
      </c>
      <c r="BT5" s="25">
        <f>BS5+1</f>
        <v>46139</v>
      </c>
      <c r="BU5" s="23">
        <f>BT5+1</f>
        <v>46140</v>
      </c>
      <c r="BV5" s="23">
        <f t="shared" ref="BV5" si="11">BU5+1</f>
        <v>46141</v>
      </c>
      <c r="BW5" s="23">
        <f t="shared" ref="BW5" si="12">BV5+1</f>
        <v>46142</v>
      </c>
      <c r="BX5" s="23">
        <f t="shared" ref="BX5" si="13">BW5+1</f>
        <v>46143</v>
      </c>
      <c r="BY5" s="23">
        <f t="shared" ref="BY5" si="14">BX5+1</f>
        <v>46144</v>
      </c>
      <c r="BZ5" s="23">
        <f t="shared" ref="BZ5" si="15">BY5+1</f>
        <v>46145</v>
      </c>
      <c r="CA5" s="25">
        <f>BZ5+1</f>
        <v>46146</v>
      </c>
      <c r="CB5" s="23">
        <f>CA5+1</f>
        <v>46147</v>
      </c>
      <c r="CC5" s="23">
        <f t="shared" ref="CC5" si="16">CB5+1</f>
        <v>46148</v>
      </c>
      <c r="CD5" s="23">
        <f t="shared" ref="CD5" si="17">CC5+1</f>
        <v>46149</v>
      </c>
      <c r="CE5" s="82">
        <f t="shared" ref="CE5" si="18">CD5+1</f>
        <v>46150</v>
      </c>
      <c r="CF5" s="23">
        <f t="shared" ref="CF5" si="19">CE5+1</f>
        <v>46151</v>
      </c>
      <c r="CG5" s="23">
        <f t="shared" ref="CG5" si="20">CF5+1</f>
        <v>46152</v>
      </c>
    </row>
    <row r="6" spans="1:85" s="18" customFormat="1" ht="15" customHeight="1" thickBot="1" x14ac:dyDescent="0.3">
      <c r="A6" s="112"/>
      <c r="B6" s="114"/>
      <c r="C6" s="116"/>
      <c r="D6" s="116"/>
      <c r="E6" s="116"/>
      <c r="F6" s="116"/>
      <c r="I6" s="26" t="str">
        <f t="shared" ref="I6:AN6" si="21">LEFT(TEXT(I5,"ddd"),1)</f>
        <v>M</v>
      </c>
      <c r="J6" s="27" t="str">
        <f t="shared" si="21"/>
        <v>T</v>
      </c>
      <c r="K6" s="27" t="str">
        <f t="shared" si="21"/>
        <v>W</v>
      </c>
      <c r="L6" s="27" t="str">
        <f t="shared" si="21"/>
        <v>T</v>
      </c>
      <c r="M6" s="27" t="str">
        <f t="shared" si="21"/>
        <v>F</v>
      </c>
      <c r="N6" s="27" t="str">
        <f t="shared" si="21"/>
        <v>S</v>
      </c>
      <c r="O6" s="27" t="str">
        <f t="shared" si="21"/>
        <v>S</v>
      </c>
      <c r="P6" s="27" t="str">
        <f t="shared" si="21"/>
        <v>M</v>
      </c>
      <c r="Q6" s="27" t="str">
        <f t="shared" si="21"/>
        <v>T</v>
      </c>
      <c r="R6" s="27" t="str">
        <f t="shared" si="21"/>
        <v>W</v>
      </c>
      <c r="S6" s="27" t="str">
        <f t="shared" si="21"/>
        <v>T</v>
      </c>
      <c r="T6" s="27" t="str">
        <f t="shared" si="21"/>
        <v>F</v>
      </c>
      <c r="U6" s="27" t="str">
        <f t="shared" si="21"/>
        <v>S</v>
      </c>
      <c r="V6" s="27" t="str">
        <f t="shared" si="21"/>
        <v>S</v>
      </c>
      <c r="W6" s="27" t="str">
        <f t="shared" si="21"/>
        <v>M</v>
      </c>
      <c r="X6" s="27" t="str">
        <f t="shared" si="21"/>
        <v>T</v>
      </c>
      <c r="Y6" s="27" t="str">
        <f t="shared" si="21"/>
        <v>W</v>
      </c>
      <c r="Z6" s="27" t="str">
        <f t="shared" si="21"/>
        <v>T</v>
      </c>
      <c r="AA6" s="27" t="str">
        <f t="shared" si="21"/>
        <v>F</v>
      </c>
      <c r="AB6" s="27" t="str">
        <f t="shared" si="21"/>
        <v>S</v>
      </c>
      <c r="AC6" s="27" t="str">
        <f t="shared" si="21"/>
        <v>S</v>
      </c>
      <c r="AD6" s="27" t="str">
        <f t="shared" si="21"/>
        <v>M</v>
      </c>
      <c r="AE6" s="27" t="str">
        <f t="shared" si="21"/>
        <v>T</v>
      </c>
      <c r="AF6" s="27" t="str">
        <f t="shared" si="21"/>
        <v>W</v>
      </c>
      <c r="AG6" s="27" t="str">
        <f t="shared" si="21"/>
        <v>T</v>
      </c>
      <c r="AH6" s="27" t="str">
        <f t="shared" si="21"/>
        <v>F</v>
      </c>
      <c r="AI6" s="27" t="str">
        <f t="shared" si="21"/>
        <v>S</v>
      </c>
      <c r="AJ6" s="27" t="str">
        <f t="shared" si="21"/>
        <v>S</v>
      </c>
      <c r="AK6" s="27" t="str">
        <f t="shared" si="21"/>
        <v>M</v>
      </c>
      <c r="AL6" s="27" t="str">
        <f t="shared" si="21"/>
        <v>T</v>
      </c>
      <c r="AM6" s="27" t="str">
        <f t="shared" si="21"/>
        <v>W</v>
      </c>
      <c r="AN6" s="27" t="str">
        <f t="shared" si="21"/>
        <v>T</v>
      </c>
      <c r="AO6" s="27" t="str">
        <f t="shared" ref="AO6:BL6" si="22">LEFT(TEXT(AO5,"ddd"),1)</f>
        <v>F</v>
      </c>
      <c r="AP6" s="27" t="str">
        <f t="shared" si="22"/>
        <v>S</v>
      </c>
      <c r="AQ6" s="27" t="str">
        <f t="shared" si="22"/>
        <v>S</v>
      </c>
      <c r="AR6" s="27" t="str">
        <f t="shared" si="22"/>
        <v>M</v>
      </c>
      <c r="AS6" s="27" t="str">
        <f t="shared" si="22"/>
        <v>T</v>
      </c>
      <c r="AT6" s="27" t="str">
        <f t="shared" si="22"/>
        <v>W</v>
      </c>
      <c r="AU6" s="27" t="str">
        <f t="shared" si="22"/>
        <v>T</v>
      </c>
      <c r="AV6" s="27" t="str">
        <f t="shared" si="22"/>
        <v>F</v>
      </c>
      <c r="AW6" s="27" t="str">
        <f t="shared" si="22"/>
        <v>S</v>
      </c>
      <c r="AX6" s="27" t="str">
        <f t="shared" si="22"/>
        <v>S</v>
      </c>
      <c r="AY6" s="27" t="str">
        <f t="shared" si="22"/>
        <v>M</v>
      </c>
      <c r="AZ6" s="27" t="str">
        <f t="shared" si="22"/>
        <v>T</v>
      </c>
      <c r="BA6" s="27" t="str">
        <f t="shared" si="22"/>
        <v>W</v>
      </c>
      <c r="BB6" s="27" t="str">
        <f t="shared" si="22"/>
        <v>T</v>
      </c>
      <c r="BC6" s="27" t="str">
        <f t="shared" si="22"/>
        <v>F</v>
      </c>
      <c r="BD6" s="27" t="str">
        <f t="shared" si="22"/>
        <v>S</v>
      </c>
      <c r="BE6" s="27" t="str">
        <f t="shared" si="22"/>
        <v>S</v>
      </c>
      <c r="BF6" s="27" t="str">
        <f t="shared" si="22"/>
        <v>M</v>
      </c>
      <c r="BG6" s="27" t="str">
        <f t="shared" si="22"/>
        <v>T</v>
      </c>
      <c r="BH6" s="27" t="str">
        <f t="shared" si="22"/>
        <v>W</v>
      </c>
      <c r="BI6" s="27" t="str">
        <f t="shared" si="22"/>
        <v>T</v>
      </c>
      <c r="BJ6" s="27" t="str">
        <f t="shared" si="22"/>
        <v>F</v>
      </c>
      <c r="BK6" s="27" t="str">
        <f t="shared" si="22"/>
        <v>S</v>
      </c>
      <c r="BL6" s="28" t="str">
        <f t="shared" si="22"/>
        <v>S</v>
      </c>
      <c r="BM6" s="27" t="str">
        <f t="shared" ref="BM6:BS6" si="23">LEFT(TEXT(BM5,"ddd"),1)</f>
        <v>M</v>
      </c>
      <c r="BN6" s="27" t="str">
        <f t="shared" si="23"/>
        <v>T</v>
      </c>
      <c r="BO6" s="27" t="str">
        <f t="shared" si="23"/>
        <v>W</v>
      </c>
      <c r="BP6" s="27" t="str">
        <f t="shared" si="23"/>
        <v>T</v>
      </c>
      <c r="BQ6" s="27" t="str">
        <f t="shared" si="23"/>
        <v>F</v>
      </c>
      <c r="BR6" s="27" t="str">
        <f t="shared" si="23"/>
        <v>S</v>
      </c>
      <c r="BS6" s="28" t="str">
        <f t="shared" si="23"/>
        <v>S</v>
      </c>
      <c r="BT6" s="27" t="str">
        <f t="shared" ref="BT6:BZ6" si="24">LEFT(TEXT(BT5,"ddd"),1)</f>
        <v>M</v>
      </c>
      <c r="BU6" s="27" t="str">
        <f t="shared" si="24"/>
        <v>T</v>
      </c>
      <c r="BV6" s="27" t="str">
        <f t="shared" si="24"/>
        <v>W</v>
      </c>
      <c r="BW6" s="27" t="str">
        <f t="shared" si="24"/>
        <v>T</v>
      </c>
      <c r="BX6" s="27" t="str">
        <f t="shared" si="24"/>
        <v>F</v>
      </c>
      <c r="BY6" s="27" t="str">
        <f t="shared" si="24"/>
        <v>S</v>
      </c>
      <c r="BZ6" s="28" t="str">
        <f t="shared" si="24"/>
        <v>S</v>
      </c>
      <c r="CA6" s="27" t="str">
        <f t="shared" ref="CA6:CG6" si="25">LEFT(TEXT(CA5,"ddd"),1)</f>
        <v>M</v>
      </c>
      <c r="CB6" s="27" t="str">
        <f t="shared" si="25"/>
        <v>T</v>
      </c>
      <c r="CC6" s="27" t="str">
        <f t="shared" si="25"/>
        <v>W</v>
      </c>
      <c r="CD6" s="27" t="str">
        <f t="shared" si="25"/>
        <v>T</v>
      </c>
      <c r="CE6" s="83" t="str">
        <f t="shared" si="25"/>
        <v>F</v>
      </c>
      <c r="CF6" s="27" t="str">
        <f t="shared" si="25"/>
        <v>S</v>
      </c>
      <c r="CG6" s="28" t="str">
        <f t="shared" si="25"/>
        <v>S</v>
      </c>
    </row>
    <row r="7" spans="1:85" s="18" customFormat="1" ht="30" hidden="1" customHeight="1" thickBot="1" x14ac:dyDescent="0.3">
      <c r="A7" s="6" t="s">
        <v>13</v>
      </c>
      <c r="B7" s="29"/>
      <c r="C7" s="30"/>
      <c r="D7" s="29"/>
      <c r="E7" s="29"/>
      <c r="F7" s="29"/>
      <c r="H7" s="18" t="str">
        <f>IF(OR(ISBLANK(task_start),ISBLANK(task_end)),"",task_end-task_start+1)</f>
        <v/>
      </c>
      <c r="I7" s="31"/>
      <c r="J7" s="31"/>
      <c r="K7" s="31"/>
      <c r="L7" s="31"/>
      <c r="M7" s="31"/>
      <c r="N7" s="31"/>
      <c r="O7" s="31"/>
      <c r="P7" s="31"/>
      <c r="Q7" s="31"/>
      <c r="R7" s="31"/>
      <c r="S7" s="31"/>
      <c r="T7" s="31"/>
      <c r="U7" s="31"/>
      <c r="V7" s="31"/>
      <c r="W7" s="98"/>
      <c r="X7" s="95"/>
      <c r="Y7" s="98"/>
      <c r="Z7" s="85"/>
      <c r="AA7" s="31"/>
      <c r="AB7" s="31"/>
      <c r="AC7" s="31"/>
      <c r="AD7" s="31"/>
      <c r="AE7" s="31"/>
      <c r="AF7" s="31"/>
      <c r="AG7" s="31"/>
      <c r="AH7" s="31"/>
      <c r="AI7" s="31"/>
      <c r="AJ7" s="31"/>
      <c r="AK7" s="31"/>
      <c r="AL7" s="31"/>
      <c r="AM7" s="31"/>
      <c r="AN7" s="31"/>
      <c r="AO7" s="31"/>
      <c r="AP7" s="31"/>
      <c r="AQ7" s="31"/>
      <c r="AR7" s="31"/>
      <c r="AS7" s="85"/>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100"/>
      <c r="CF7" s="31"/>
      <c r="CG7" s="31"/>
    </row>
    <row r="8" spans="1:85" s="38" customFormat="1" ht="30" customHeight="1" thickBot="1" x14ac:dyDescent="0.3">
      <c r="A8" s="7"/>
      <c r="B8" s="32" t="s">
        <v>14</v>
      </c>
      <c r="C8" s="33"/>
      <c r="D8" s="34"/>
      <c r="E8" s="35"/>
      <c r="F8" s="36"/>
      <c r="G8" s="10"/>
      <c r="H8" s="5" t="str">
        <f t="shared" ref="H8:H34" si="26">IF(OR(ISBLANK(task_start),ISBLANK(task_end)),"",task_end-task_start+1)</f>
        <v/>
      </c>
      <c r="I8" s="37"/>
      <c r="J8" s="37"/>
      <c r="K8" s="37"/>
      <c r="L8" s="37"/>
      <c r="M8" s="37"/>
      <c r="N8" s="37"/>
      <c r="O8" s="37"/>
      <c r="P8" s="37"/>
      <c r="Q8" s="37"/>
      <c r="R8" s="71"/>
      <c r="S8" s="71"/>
      <c r="T8" s="37"/>
      <c r="U8" s="37"/>
      <c r="V8" s="37"/>
      <c r="W8" s="37"/>
      <c r="X8" s="96"/>
      <c r="Y8" s="37"/>
      <c r="Z8" s="86"/>
      <c r="AA8" s="37"/>
      <c r="AB8" s="37"/>
      <c r="AC8" s="37"/>
      <c r="AD8" s="37"/>
      <c r="AE8" s="37"/>
      <c r="AF8" s="37"/>
      <c r="AG8" s="37"/>
      <c r="AH8" s="37"/>
      <c r="AI8" s="37"/>
      <c r="AJ8" s="37"/>
      <c r="AK8" s="37"/>
      <c r="AL8" s="37"/>
      <c r="AM8" s="37"/>
      <c r="AN8" s="37"/>
      <c r="AO8" s="37"/>
      <c r="AP8" s="37"/>
      <c r="AQ8" s="37"/>
      <c r="AR8" s="37"/>
      <c r="AS8" s="86"/>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101"/>
      <c r="CF8" s="37"/>
      <c r="CG8" s="37"/>
    </row>
    <row r="9" spans="1:85" s="38" customFormat="1" ht="30" customHeight="1" thickBot="1" x14ac:dyDescent="0.3">
      <c r="A9" s="7"/>
      <c r="B9" s="39" t="s">
        <v>15</v>
      </c>
      <c r="C9" s="44" t="s">
        <v>16</v>
      </c>
      <c r="D9" s="40">
        <v>1</v>
      </c>
      <c r="E9" s="41">
        <f>Project_Start+7</f>
        <v>46085</v>
      </c>
      <c r="F9" s="41">
        <f>E9</f>
        <v>46085</v>
      </c>
      <c r="G9" s="10"/>
      <c r="H9" s="5">
        <f t="shared" si="26"/>
        <v>1</v>
      </c>
      <c r="I9" s="42"/>
      <c r="J9" s="42"/>
      <c r="K9" s="42"/>
      <c r="L9" s="42"/>
      <c r="M9" s="42"/>
      <c r="N9" s="42"/>
      <c r="O9" s="42"/>
      <c r="P9" s="42"/>
      <c r="Q9" s="42"/>
      <c r="R9" s="42"/>
      <c r="S9" s="42"/>
      <c r="T9" s="42"/>
      <c r="U9" s="42"/>
      <c r="V9" s="42"/>
      <c r="W9" s="97"/>
      <c r="X9" s="94"/>
      <c r="Y9" s="97"/>
      <c r="Z9" s="87"/>
      <c r="AA9" s="42"/>
      <c r="AB9" s="42"/>
      <c r="AC9" s="42"/>
      <c r="AD9" s="42"/>
      <c r="AE9" s="42"/>
      <c r="AF9" s="42"/>
      <c r="AG9" s="42"/>
      <c r="AH9" s="42"/>
      <c r="AI9" s="42"/>
      <c r="AJ9" s="42"/>
      <c r="AK9" s="42"/>
      <c r="AL9" s="42"/>
      <c r="AM9" s="42"/>
      <c r="AN9" s="42"/>
      <c r="AO9" s="42"/>
      <c r="AP9" s="42"/>
      <c r="AQ9" s="42"/>
      <c r="AR9" s="42"/>
      <c r="AS9" s="87"/>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102"/>
      <c r="CF9" s="42"/>
      <c r="CG9" s="42"/>
    </row>
    <row r="10" spans="1:85" s="38" customFormat="1" ht="30" customHeight="1" thickBot="1" x14ac:dyDescent="0.3">
      <c r="A10" s="7"/>
      <c r="B10" s="39" t="s">
        <v>17</v>
      </c>
      <c r="C10" s="44" t="s">
        <v>18</v>
      </c>
      <c r="D10" s="40">
        <v>1</v>
      </c>
      <c r="E10" s="45">
        <f>F9+1</f>
        <v>46086</v>
      </c>
      <c r="F10" s="45">
        <f>E10+3</f>
        <v>46089</v>
      </c>
      <c r="G10" s="10"/>
      <c r="H10" s="5"/>
      <c r="I10" s="42"/>
      <c r="J10" s="42"/>
      <c r="K10" s="42"/>
      <c r="L10" s="42"/>
      <c r="M10" s="42"/>
      <c r="N10" s="42"/>
      <c r="O10" s="42"/>
      <c r="P10" s="42"/>
      <c r="Q10" s="42"/>
      <c r="R10" s="42"/>
      <c r="S10" s="42"/>
      <c r="T10" s="42"/>
      <c r="U10" s="42"/>
      <c r="V10" s="42"/>
      <c r="W10" s="97"/>
      <c r="X10" s="94"/>
      <c r="Y10" s="97"/>
      <c r="Z10" s="87"/>
      <c r="AA10" s="42"/>
      <c r="AB10" s="42"/>
      <c r="AC10" s="42"/>
      <c r="AD10" s="42"/>
      <c r="AE10" s="42"/>
      <c r="AF10" s="42"/>
      <c r="AG10" s="42"/>
      <c r="AH10" s="42"/>
      <c r="AI10" s="42"/>
      <c r="AJ10" s="42"/>
      <c r="AK10" s="42"/>
      <c r="AL10" s="42"/>
      <c r="AM10" s="42"/>
      <c r="AN10" s="42"/>
      <c r="AO10" s="42"/>
      <c r="AP10" s="42"/>
      <c r="AQ10" s="42"/>
      <c r="AR10" s="42"/>
      <c r="AS10" s="87"/>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102"/>
      <c r="CF10" s="42"/>
      <c r="CG10" s="42"/>
    </row>
    <row r="11" spans="1:85" s="38" customFormat="1" ht="30" customHeight="1" thickBot="1" x14ac:dyDescent="0.3">
      <c r="A11" s="7"/>
      <c r="B11" s="39" t="s">
        <v>19</v>
      </c>
      <c r="C11" s="44" t="s">
        <v>18</v>
      </c>
      <c r="D11" s="40">
        <v>1</v>
      </c>
      <c r="E11" s="45">
        <f t="shared" ref="E11:E12" si="27">F10+1</f>
        <v>46090</v>
      </c>
      <c r="F11" s="45">
        <f>E11+3</f>
        <v>46093</v>
      </c>
      <c r="G11" s="10"/>
      <c r="H11" s="5"/>
      <c r="I11" s="42"/>
      <c r="J11" s="42"/>
      <c r="K11" s="42"/>
      <c r="L11" s="42"/>
      <c r="M11" s="42"/>
      <c r="N11" s="42"/>
      <c r="O11" s="42"/>
      <c r="P11" s="42"/>
      <c r="Q11" s="42"/>
      <c r="R11" s="42"/>
      <c r="S11" s="42"/>
      <c r="T11" s="42"/>
      <c r="U11" s="42"/>
      <c r="V11" s="42"/>
      <c r="W11" s="97"/>
      <c r="X11" s="94"/>
      <c r="Y11" s="97"/>
      <c r="Z11" s="87"/>
      <c r="AA11" s="87"/>
      <c r="AB11" s="42"/>
      <c r="AC11" s="42"/>
      <c r="AD11" s="42"/>
      <c r="AE11" s="42"/>
      <c r="AF11" s="42"/>
      <c r="AG11" s="42"/>
      <c r="AH11" s="42"/>
      <c r="AI11" s="42"/>
      <c r="AJ11" s="42"/>
      <c r="AK11" s="42"/>
      <c r="AL11" s="42"/>
      <c r="AM11" s="42"/>
      <c r="AN11" s="42"/>
      <c r="AO11" s="42"/>
      <c r="AP11" s="42"/>
      <c r="AQ11" s="42"/>
      <c r="AR11" s="42"/>
      <c r="AS11" s="87"/>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102"/>
      <c r="CF11" s="42"/>
      <c r="CG11" s="42"/>
    </row>
    <row r="12" spans="1:85" s="38" customFormat="1" ht="30" customHeight="1" thickBot="1" x14ac:dyDescent="0.3">
      <c r="A12" s="7"/>
      <c r="B12" s="43" t="s">
        <v>20</v>
      </c>
      <c r="C12" s="44" t="s">
        <v>18</v>
      </c>
      <c r="D12" s="40">
        <v>1</v>
      </c>
      <c r="E12" s="45">
        <f t="shared" si="27"/>
        <v>46094</v>
      </c>
      <c r="F12" s="45">
        <f>E12+5</f>
        <v>46099</v>
      </c>
      <c r="G12" s="10"/>
      <c r="H12" s="5"/>
      <c r="I12" s="42"/>
      <c r="J12" s="42"/>
      <c r="K12" s="42"/>
      <c r="L12" s="42"/>
      <c r="M12" s="42"/>
      <c r="N12" s="42"/>
      <c r="O12" s="42"/>
      <c r="P12" s="42"/>
      <c r="Q12" s="42"/>
      <c r="R12" s="42"/>
      <c r="S12" s="42"/>
      <c r="T12" s="42"/>
      <c r="U12" s="42"/>
      <c r="V12" s="42"/>
      <c r="W12" s="97"/>
      <c r="X12" s="94"/>
      <c r="Y12" s="97"/>
      <c r="Z12" s="87"/>
      <c r="AA12" s="42"/>
      <c r="AB12" s="42"/>
      <c r="AC12" s="42"/>
      <c r="AD12" s="42"/>
      <c r="AE12" s="42"/>
      <c r="AF12" s="42"/>
      <c r="AG12" s="42"/>
      <c r="AH12" s="42"/>
      <c r="AI12" s="42"/>
      <c r="AJ12" s="42"/>
      <c r="AK12" s="42"/>
      <c r="AL12" s="42"/>
      <c r="AM12" s="42"/>
      <c r="AN12" s="42"/>
      <c r="AO12" s="42"/>
      <c r="AP12" s="42"/>
      <c r="AQ12" s="42"/>
      <c r="AR12" s="42"/>
      <c r="AS12" s="87"/>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102"/>
      <c r="CF12" s="42"/>
      <c r="CG12" s="42"/>
    </row>
    <row r="13" spans="1:85" s="38" customFormat="1" ht="30" customHeight="1" thickBot="1" x14ac:dyDescent="0.3">
      <c r="A13" s="7"/>
      <c r="B13" s="47" t="s">
        <v>21</v>
      </c>
      <c r="C13" s="48"/>
      <c r="D13" s="49"/>
      <c r="E13" s="50"/>
      <c r="F13" s="51"/>
      <c r="G13" s="10"/>
      <c r="H13" s="5" t="str">
        <f t="shared" si="26"/>
        <v/>
      </c>
      <c r="AS13" s="88"/>
      <c r="CE13" s="103"/>
    </row>
    <row r="14" spans="1:85" s="38" customFormat="1" ht="30" customHeight="1" thickBot="1" x14ac:dyDescent="0.3">
      <c r="A14" s="7"/>
      <c r="B14" s="52" t="s">
        <v>22</v>
      </c>
      <c r="C14" s="53" t="s">
        <v>18</v>
      </c>
      <c r="D14" s="54">
        <v>1</v>
      </c>
      <c r="E14" s="55">
        <f>F11+1</f>
        <v>46094</v>
      </c>
      <c r="F14" s="55">
        <f>E14+10</f>
        <v>46104</v>
      </c>
      <c r="G14" s="10"/>
      <c r="H14" s="5">
        <f t="shared" si="26"/>
        <v>11</v>
      </c>
      <c r="I14" s="42"/>
      <c r="J14" s="42"/>
      <c r="K14" s="42"/>
      <c r="L14" s="42"/>
      <c r="M14" s="42"/>
      <c r="N14" s="42"/>
      <c r="O14" s="42"/>
      <c r="P14" s="42"/>
      <c r="Q14" s="42"/>
      <c r="R14" s="42"/>
      <c r="S14" s="42"/>
      <c r="T14" s="42"/>
      <c r="U14" s="42"/>
      <c r="V14" s="42"/>
      <c r="W14" s="97"/>
      <c r="X14" s="94"/>
      <c r="Y14" s="97"/>
      <c r="Z14" s="87"/>
      <c r="AA14" s="42"/>
      <c r="AB14" s="42"/>
      <c r="AC14" s="42"/>
      <c r="AD14" s="42"/>
      <c r="AE14" s="42"/>
      <c r="AF14" s="42"/>
      <c r="AG14" s="42"/>
      <c r="AH14" s="42"/>
      <c r="AI14" s="42"/>
      <c r="AJ14" s="42"/>
      <c r="AK14" s="42"/>
      <c r="AL14" s="42"/>
      <c r="AM14" s="42"/>
      <c r="AN14" s="42"/>
      <c r="AO14" s="42"/>
      <c r="AP14" s="42"/>
      <c r="AQ14" s="42"/>
      <c r="AR14" s="42"/>
      <c r="AS14" s="87"/>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102"/>
      <c r="CF14" s="42"/>
      <c r="CG14" s="42"/>
    </row>
    <row r="15" spans="1:85" s="38" customFormat="1" ht="30" customHeight="1" thickBot="1" x14ac:dyDescent="0.3">
      <c r="A15" s="6"/>
      <c r="B15" s="52" t="s">
        <v>23</v>
      </c>
      <c r="C15" s="53" t="s">
        <v>18</v>
      </c>
      <c r="D15" s="54">
        <v>1</v>
      </c>
      <c r="E15" s="55">
        <f>F14+1</f>
        <v>46105</v>
      </c>
      <c r="F15" s="55">
        <f>E15+5</f>
        <v>46110</v>
      </c>
      <c r="G15" s="10"/>
      <c r="H15" s="5">
        <f t="shared" si="26"/>
        <v>6</v>
      </c>
      <c r="I15" s="42"/>
      <c r="J15" s="42"/>
      <c r="K15" s="42"/>
      <c r="L15" s="42"/>
      <c r="M15" s="42"/>
      <c r="N15" s="42"/>
      <c r="O15" s="42"/>
      <c r="P15" s="42"/>
      <c r="Q15" s="42"/>
      <c r="R15" s="42"/>
      <c r="S15" s="42"/>
      <c r="T15" s="42"/>
      <c r="U15" s="46"/>
      <c r="V15" s="46"/>
      <c r="W15" s="97"/>
      <c r="X15" s="94"/>
      <c r="Y15" s="97"/>
      <c r="Z15" s="87"/>
      <c r="AA15" s="42"/>
      <c r="AB15" s="42"/>
      <c r="AC15" s="42"/>
      <c r="AD15" s="42"/>
      <c r="AE15" s="42"/>
      <c r="AF15" s="42"/>
      <c r="AG15" s="42"/>
      <c r="AH15" s="42"/>
      <c r="AI15" s="42"/>
      <c r="AJ15" s="42"/>
      <c r="AK15" s="42"/>
      <c r="AL15" s="42"/>
      <c r="AM15" s="42"/>
      <c r="AN15" s="42"/>
      <c r="AO15" s="42"/>
      <c r="AP15" s="42"/>
      <c r="AQ15" s="42"/>
      <c r="AR15" s="42"/>
      <c r="AS15" s="87"/>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102"/>
      <c r="CF15" s="42"/>
      <c r="CG15" s="42"/>
    </row>
    <row r="16" spans="1:85" s="38" customFormat="1" ht="30" customHeight="1" thickBot="1" x14ac:dyDescent="0.3">
      <c r="A16" s="6"/>
      <c r="B16" s="52" t="s">
        <v>24</v>
      </c>
      <c r="C16" s="53" t="s">
        <v>18</v>
      </c>
      <c r="D16" s="54">
        <v>1</v>
      </c>
      <c r="E16" s="55">
        <f>F15+1</f>
        <v>46111</v>
      </c>
      <c r="F16" s="55">
        <f>E16+5</f>
        <v>46116</v>
      </c>
      <c r="G16" s="10"/>
      <c r="H16" s="5">
        <f t="shared" si="26"/>
        <v>6</v>
      </c>
      <c r="I16" s="42"/>
      <c r="J16" s="42"/>
      <c r="K16" s="42"/>
      <c r="L16" s="42"/>
      <c r="M16" s="42"/>
      <c r="N16" s="42"/>
      <c r="O16" s="42"/>
      <c r="P16" s="42"/>
      <c r="Q16" s="42"/>
      <c r="R16" s="42"/>
      <c r="S16" s="42"/>
      <c r="T16" s="42"/>
      <c r="U16" s="42"/>
      <c r="V16" s="42"/>
      <c r="W16" s="97"/>
      <c r="X16" s="97"/>
      <c r="Y16" s="97"/>
      <c r="Z16" s="87"/>
      <c r="AA16" s="42"/>
      <c r="AB16" s="42"/>
      <c r="AC16" s="42"/>
      <c r="AD16" s="42"/>
      <c r="AE16" s="42"/>
      <c r="AF16" s="42"/>
      <c r="AG16" s="42"/>
      <c r="AH16" s="42"/>
      <c r="AI16" s="42"/>
      <c r="AJ16" s="42"/>
      <c r="AK16" s="42"/>
      <c r="AL16" s="42"/>
      <c r="AM16" s="42"/>
      <c r="AN16" s="42"/>
      <c r="AO16" s="42"/>
      <c r="AP16" s="42"/>
      <c r="AQ16" s="42"/>
      <c r="AR16" s="42"/>
      <c r="AS16" s="87"/>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102"/>
      <c r="CF16" s="42"/>
      <c r="CG16" s="42"/>
    </row>
    <row r="17" spans="1:85" s="38" customFormat="1" ht="30" customHeight="1" thickBot="1" x14ac:dyDescent="0.3">
      <c r="A17" s="6"/>
      <c r="B17" s="52" t="s">
        <v>25</v>
      </c>
      <c r="C17" s="53" t="s">
        <v>18</v>
      </c>
      <c r="D17" s="54">
        <v>1</v>
      </c>
      <c r="E17" s="55">
        <f t="shared" ref="E17" si="28">F16+1</f>
        <v>46117</v>
      </c>
      <c r="F17" s="55">
        <f>E17+4</f>
        <v>46121</v>
      </c>
      <c r="G17" s="10"/>
      <c r="H17" s="5"/>
      <c r="I17" s="42"/>
      <c r="J17" s="42"/>
      <c r="K17" s="42"/>
      <c r="L17" s="42"/>
      <c r="M17" s="42"/>
      <c r="N17" s="42"/>
      <c r="O17" s="42"/>
      <c r="P17" s="42"/>
      <c r="Q17" s="42"/>
      <c r="R17" s="42"/>
      <c r="S17" s="42"/>
      <c r="T17" s="42"/>
      <c r="U17" s="42"/>
      <c r="V17" s="42"/>
      <c r="W17" s="97"/>
      <c r="X17"/>
      <c r="Y17" s="97"/>
      <c r="Z17" s="87"/>
      <c r="AA17" s="42"/>
      <c r="AB17" s="42"/>
      <c r="AC17" s="42"/>
      <c r="AD17" s="42"/>
      <c r="AE17" s="42"/>
      <c r="AF17" s="42"/>
      <c r="AG17" s="42"/>
      <c r="AH17" s="42"/>
      <c r="AI17" s="42"/>
      <c r="AJ17" s="42"/>
      <c r="AK17" s="42"/>
      <c r="AL17" s="42"/>
      <c r="AM17" s="42"/>
      <c r="AN17" s="42"/>
      <c r="AO17" s="42"/>
      <c r="AP17" s="42"/>
      <c r="AQ17" s="42"/>
      <c r="AR17" s="42"/>
      <c r="AS17" s="87"/>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102"/>
      <c r="CF17" s="42"/>
      <c r="CG17" s="42"/>
    </row>
    <row r="18" spans="1:85" s="38" customFormat="1" ht="30" customHeight="1" thickBot="1" x14ac:dyDescent="0.3">
      <c r="A18" s="6"/>
      <c r="B18" s="52" t="s">
        <v>26</v>
      </c>
      <c r="C18" s="53" t="s">
        <v>18</v>
      </c>
      <c r="D18" s="54">
        <v>0</v>
      </c>
      <c r="E18" s="55">
        <f t="shared" ref="E18" si="29">F17+1</f>
        <v>46122</v>
      </c>
      <c r="F18" s="55">
        <f>E18+4</f>
        <v>46126</v>
      </c>
      <c r="G18" s="10"/>
      <c r="H18" s="5"/>
      <c r="I18" s="42"/>
      <c r="J18" s="42"/>
      <c r="K18" s="42"/>
      <c r="L18" s="42"/>
      <c r="M18" s="42"/>
      <c r="N18" s="42"/>
      <c r="O18" s="42"/>
      <c r="P18" s="42"/>
      <c r="Q18" s="42"/>
      <c r="R18" s="42"/>
      <c r="S18" s="42"/>
      <c r="T18" s="42"/>
      <c r="U18" s="42"/>
      <c r="V18" s="42"/>
      <c r="W18" s="97"/>
      <c r="X18"/>
      <c r="Y18" s="97"/>
      <c r="Z18" s="87"/>
      <c r="AA18" s="42"/>
      <c r="AB18" s="42"/>
      <c r="AC18" s="42"/>
      <c r="AD18" s="42"/>
      <c r="AE18" s="42"/>
      <c r="AF18" s="42"/>
      <c r="AG18" s="42"/>
      <c r="AH18" s="42"/>
      <c r="AI18" s="42"/>
      <c r="AJ18" s="42"/>
      <c r="AK18" s="42"/>
      <c r="AL18" s="42"/>
      <c r="AM18" s="42"/>
      <c r="AN18" s="42"/>
      <c r="AO18" s="42"/>
      <c r="AP18" s="42"/>
      <c r="AQ18" s="42"/>
      <c r="AR18" s="42"/>
      <c r="AS18" s="87"/>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102"/>
      <c r="CF18" s="42"/>
      <c r="CG18" s="42"/>
    </row>
    <row r="19" spans="1:85" s="38" customFormat="1" ht="30" customHeight="1" thickBot="1" x14ac:dyDescent="0.3">
      <c r="A19" s="6"/>
      <c r="B19" s="56" t="s">
        <v>27</v>
      </c>
      <c r="C19" s="57"/>
      <c r="D19" s="58"/>
      <c r="E19" s="59"/>
      <c r="F19" s="60"/>
      <c r="G19" s="10"/>
      <c r="H19" s="5" t="str">
        <f t="shared" si="26"/>
        <v/>
      </c>
      <c r="I19" s="61"/>
      <c r="J19" s="61"/>
      <c r="K19" s="61"/>
      <c r="L19" s="61"/>
      <c r="M19" s="61"/>
      <c r="N19" s="61"/>
      <c r="O19" s="61"/>
      <c r="P19" s="61"/>
      <c r="Q19" s="61"/>
      <c r="R19" s="61"/>
      <c r="S19" s="61"/>
      <c r="T19" s="61"/>
      <c r="U19" s="61"/>
      <c r="V19" s="61"/>
      <c r="W19" s="61"/>
      <c r="X19" s="93"/>
      <c r="Y19" s="61"/>
      <c r="Z19" s="89"/>
      <c r="AA19" s="61"/>
      <c r="AB19" s="61"/>
      <c r="AC19" s="61"/>
      <c r="AD19" s="61"/>
      <c r="AE19" s="61"/>
      <c r="AF19" s="61"/>
      <c r="AG19" s="61"/>
      <c r="AH19" s="61"/>
      <c r="AI19" s="61"/>
      <c r="AJ19" s="61"/>
      <c r="AK19" s="61"/>
      <c r="AL19" s="61"/>
      <c r="AM19" s="61"/>
      <c r="AN19" s="61"/>
      <c r="AO19" s="61"/>
      <c r="AP19" s="61"/>
      <c r="AQ19" s="61"/>
      <c r="AR19" s="61"/>
      <c r="AS19" s="89"/>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104"/>
      <c r="CF19" s="61"/>
      <c r="CG19" s="61"/>
    </row>
    <row r="20" spans="1:85" s="38" customFormat="1" ht="30" customHeight="1" thickBot="1" x14ac:dyDescent="0.3">
      <c r="A20" s="6"/>
      <c r="B20" s="62" t="s">
        <v>28</v>
      </c>
      <c r="C20" s="63" t="s">
        <v>18</v>
      </c>
      <c r="D20" s="64">
        <v>1</v>
      </c>
      <c r="E20" s="65">
        <f>F18+1</f>
        <v>46127</v>
      </c>
      <c r="F20" s="65">
        <f>E20+1</f>
        <v>46128</v>
      </c>
      <c r="G20" s="10"/>
      <c r="H20" s="5"/>
      <c r="I20" s="42"/>
      <c r="J20" s="42"/>
      <c r="K20" s="42"/>
      <c r="L20" s="42"/>
      <c r="M20" s="42"/>
      <c r="N20" s="42"/>
      <c r="O20" s="42"/>
      <c r="P20" s="42"/>
      <c r="Q20" s="42"/>
      <c r="R20" s="42"/>
      <c r="S20" s="42"/>
      <c r="T20" s="42"/>
      <c r="U20" s="42"/>
      <c r="V20" s="42"/>
      <c r="W20" s="97"/>
      <c r="X20" s="94"/>
      <c r="Y20" s="97"/>
      <c r="Z20" s="87"/>
      <c r="AA20" s="42"/>
      <c r="AB20" s="42"/>
      <c r="AC20" s="42"/>
      <c r="AD20" s="42"/>
      <c r="AE20" s="42"/>
      <c r="AF20" s="42"/>
      <c r="AG20" s="42"/>
      <c r="AH20" s="42"/>
      <c r="AI20" s="42"/>
      <c r="AJ20" s="42"/>
      <c r="AK20" s="42"/>
      <c r="AL20" s="42"/>
      <c r="AM20" s="42"/>
      <c r="AN20" s="42"/>
      <c r="AO20" s="42"/>
      <c r="AP20" s="42"/>
      <c r="AQ20" s="42"/>
      <c r="AR20" s="42"/>
      <c r="AS20" s="87"/>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102"/>
      <c r="CF20" s="42"/>
      <c r="CG20" s="42"/>
    </row>
    <row r="21" spans="1:85" s="38" customFormat="1" ht="30" customHeight="1" thickBot="1" x14ac:dyDescent="0.3">
      <c r="A21" s="6"/>
      <c r="B21" s="62" t="s">
        <v>29</v>
      </c>
      <c r="C21" s="63" t="s">
        <v>18</v>
      </c>
      <c r="D21" s="64">
        <v>0.8</v>
      </c>
      <c r="E21" s="65">
        <f>F20+1</f>
        <v>46129</v>
      </c>
      <c r="F21" s="65">
        <f>E21+1</f>
        <v>46130</v>
      </c>
      <c r="G21" s="10"/>
      <c r="H21" s="5"/>
      <c r="I21" s="42"/>
      <c r="J21" s="42"/>
      <c r="K21" s="42"/>
      <c r="L21" s="42"/>
      <c r="M21" s="42"/>
      <c r="N21" s="42"/>
      <c r="O21" s="42"/>
      <c r="P21" s="42"/>
      <c r="Q21" s="42"/>
      <c r="R21" s="42"/>
      <c r="S21" s="42"/>
      <c r="T21" s="42"/>
      <c r="U21" s="42"/>
      <c r="V21" s="42"/>
      <c r="W21" s="97"/>
      <c r="X21" s="94"/>
      <c r="Y21" s="97"/>
      <c r="Z21" s="87"/>
      <c r="AA21" s="42"/>
      <c r="AB21" s="42"/>
      <c r="AC21" s="42"/>
      <c r="AD21" s="42"/>
      <c r="AE21" s="42"/>
      <c r="AF21" s="42"/>
      <c r="AG21" s="42"/>
      <c r="AH21" s="42"/>
      <c r="AI21" s="42"/>
      <c r="AJ21" s="42"/>
      <c r="AK21" s="42"/>
      <c r="AL21" s="42"/>
      <c r="AM21" s="42"/>
      <c r="AN21" s="42"/>
      <c r="AO21" s="42"/>
      <c r="AP21" s="42"/>
      <c r="AQ21" s="42"/>
      <c r="AR21" s="42"/>
      <c r="AS21" s="87"/>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102"/>
      <c r="CF21" s="42"/>
      <c r="CG21" s="42"/>
    </row>
    <row r="22" spans="1:85" s="38" customFormat="1" ht="30" customHeight="1" thickBot="1" x14ac:dyDescent="0.3">
      <c r="A22" s="6"/>
      <c r="B22" s="62" t="s">
        <v>30</v>
      </c>
      <c r="C22" s="63" t="s">
        <v>18</v>
      </c>
      <c r="D22" s="64">
        <v>0</v>
      </c>
      <c r="E22" s="65">
        <f>F21+1</f>
        <v>46131</v>
      </c>
      <c r="F22" s="65">
        <f>E22+3</f>
        <v>46134</v>
      </c>
      <c r="G22" s="10"/>
      <c r="H22" s="5"/>
      <c r="I22" s="42"/>
      <c r="J22" s="42"/>
      <c r="K22" s="42"/>
      <c r="L22" s="42"/>
      <c r="M22" s="42"/>
      <c r="N22" s="42"/>
      <c r="O22" s="42"/>
      <c r="P22" s="42"/>
      <c r="Q22" s="42"/>
      <c r="R22" s="42"/>
      <c r="S22" s="42"/>
      <c r="T22" s="42"/>
      <c r="U22" s="42"/>
      <c r="V22" s="42"/>
      <c r="W22" s="97"/>
      <c r="X22" s="94"/>
      <c r="Y22" s="97"/>
      <c r="Z22" s="87"/>
      <c r="AA22" s="42"/>
      <c r="AB22" s="42"/>
      <c r="AC22" s="42"/>
      <c r="AD22" s="42"/>
      <c r="AE22" s="42"/>
      <c r="AF22" s="42"/>
      <c r="AG22" s="42"/>
      <c r="AH22" s="42"/>
      <c r="AI22" s="42"/>
      <c r="AJ22" s="42"/>
      <c r="AK22" s="42"/>
      <c r="AL22" s="42"/>
      <c r="AM22" s="42"/>
      <c r="AN22" s="42"/>
      <c r="AO22" s="42"/>
      <c r="AP22" s="42"/>
      <c r="AQ22" s="42"/>
      <c r="AR22" s="42"/>
      <c r="AS22" s="87"/>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102"/>
      <c r="CF22" s="42"/>
      <c r="CG22" s="42"/>
    </row>
    <row r="23" spans="1:85" s="38" customFormat="1" ht="30" customHeight="1" thickBot="1" x14ac:dyDescent="0.3">
      <c r="A23" s="6"/>
      <c r="B23" s="62" t="s">
        <v>31</v>
      </c>
      <c r="C23" s="63" t="s">
        <v>18</v>
      </c>
      <c r="D23" s="64">
        <v>0</v>
      </c>
      <c r="E23" s="65">
        <f>F22+1</f>
        <v>46135</v>
      </c>
      <c r="F23" s="65">
        <f>E23+3</f>
        <v>46138</v>
      </c>
      <c r="G23" s="10"/>
      <c r="H23" s="5"/>
      <c r="I23" s="42"/>
      <c r="J23" s="42"/>
      <c r="K23" s="42"/>
      <c r="L23" s="42"/>
      <c r="M23" s="42"/>
      <c r="N23" s="42"/>
      <c r="O23" s="42"/>
      <c r="P23" s="42"/>
      <c r="Q23" s="42"/>
      <c r="R23" s="42"/>
      <c r="S23" s="42"/>
      <c r="T23" s="42"/>
      <c r="U23" s="42"/>
      <c r="V23" s="42"/>
      <c r="W23" s="97"/>
      <c r="X23" s="94"/>
      <c r="Y23" s="97"/>
      <c r="Z23" s="87"/>
      <c r="AA23" s="42"/>
      <c r="AB23" s="42"/>
      <c r="AC23" s="42"/>
      <c r="AD23" s="42"/>
      <c r="AE23" s="42"/>
      <c r="AF23" s="42"/>
      <c r="AG23" s="42"/>
      <c r="AH23" s="42"/>
      <c r="AI23" s="42"/>
      <c r="AJ23" s="42"/>
      <c r="AK23" s="42"/>
      <c r="AL23" s="42"/>
      <c r="AM23" s="42"/>
      <c r="AN23" s="42"/>
      <c r="AO23" s="42"/>
      <c r="AP23" s="42"/>
      <c r="AQ23" s="42"/>
      <c r="AR23" s="42"/>
      <c r="AS23" s="87"/>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102"/>
      <c r="CF23" s="42"/>
      <c r="CG23" s="42"/>
    </row>
    <row r="24" spans="1:85" s="38" customFormat="1" ht="30" customHeight="1" thickBot="1" x14ac:dyDescent="0.3">
      <c r="A24" s="6"/>
      <c r="B24" s="62" t="s">
        <v>32</v>
      </c>
      <c r="C24" s="63" t="s">
        <v>33</v>
      </c>
      <c r="D24" s="64">
        <v>0</v>
      </c>
      <c r="E24" s="65">
        <f>E14</f>
        <v>46094</v>
      </c>
      <c r="F24" s="65">
        <f>F18</f>
        <v>46126</v>
      </c>
      <c r="G24" s="10"/>
      <c r="H24" s="5"/>
      <c r="I24" s="42"/>
      <c r="J24" s="42"/>
      <c r="K24" s="42"/>
      <c r="L24" s="42"/>
      <c r="M24" s="42"/>
      <c r="N24" s="42"/>
      <c r="O24" s="42"/>
      <c r="P24" s="42"/>
      <c r="Q24" s="42"/>
      <c r="R24" s="42"/>
      <c r="S24" s="42"/>
      <c r="T24" s="42"/>
      <c r="U24" s="42"/>
      <c r="V24" s="42"/>
      <c r="W24" s="97"/>
      <c r="X24" s="94"/>
      <c r="Y24" s="97"/>
      <c r="Z24" s="87"/>
      <c r="AA24" s="42"/>
      <c r="AB24" s="42"/>
      <c r="AC24" s="42"/>
      <c r="AD24" s="42"/>
      <c r="AE24" s="42"/>
      <c r="AF24" s="42"/>
      <c r="AG24" s="42"/>
      <c r="AH24" s="42"/>
      <c r="AI24" s="42"/>
      <c r="AJ24" s="42"/>
      <c r="AK24" s="42"/>
      <c r="AL24" s="42"/>
      <c r="AM24" s="42"/>
      <c r="AN24" s="42"/>
      <c r="AO24" s="42"/>
      <c r="AP24" s="42"/>
      <c r="AQ24" s="42"/>
      <c r="AR24" s="42"/>
      <c r="AS24" s="87"/>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102"/>
      <c r="CF24" s="42"/>
      <c r="CG24" s="42"/>
    </row>
    <row r="25" spans="1:85" s="38" customFormat="1" ht="30" customHeight="1" thickBot="1" x14ac:dyDescent="0.3">
      <c r="A25" s="6"/>
      <c r="B25" s="62" t="s">
        <v>34</v>
      </c>
      <c r="C25" s="63" t="s">
        <v>35</v>
      </c>
      <c r="D25" s="64">
        <v>1</v>
      </c>
      <c r="E25" s="65">
        <f>Project_Start</f>
        <v>46078</v>
      </c>
      <c r="F25" s="65">
        <f>E25+1</f>
        <v>46079</v>
      </c>
      <c r="G25" s="10"/>
      <c r="H25" s="5"/>
      <c r="I25" s="42"/>
      <c r="J25" s="42"/>
      <c r="K25" s="42"/>
      <c r="L25" s="42"/>
      <c r="M25" s="42"/>
      <c r="N25" s="42"/>
      <c r="O25" s="42"/>
      <c r="P25" s="42"/>
      <c r="Q25" s="42"/>
      <c r="R25" s="42"/>
      <c r="S25" s="42"/>
      <c r="T25" s="42"/>
      <c r="U25" s="42"/>
      <c r="V25" s="42"/>
      <c r="W25" s="97"/>
      <c r="X25" s="94"/>
      <c r="Y25" s="97"/>
      <c r="Z25" s="87"/>
      <c r="AA25" s="42"/>
      <c r="AB25" s="42"/>
      <c r="AC25" s="42"/>
      <c r="AD25" s="42"/>
      <c r="AE25" s="42"/>
      <c r="AF25" s="42"/>
      <c r="AG25" s="42"/>
      <c r="AH25" s="42"/>
      <c r="AI25" s="42"/>
      <c r="AJ25" s="42"/>
      <c r="AK25" s="42"/>
      <c r="AL25" s="42"/>
      <c r="AM25" s="42"/>
      <c r="AN25" s="42"/>
      <c r="AO25" s="42"/>
      <c r="AP25" s="42"/>
      <c r="AQ25" s="42"/>
      <c r="AR25" s="42"/>
      <c r="AS25" s="87"/>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102"/>
      <c r="CF25" s="42"/>
      <c r="CG25" s="42"/>
    </row>
    <row r="26" spans="1:85" s="38" customFormat="1" ht="30" customHeight="1" thickBot="1" x14ac:dyDescent="0.3">
      <c r="A26" s="6"/>
      <c r="B26" s="62" t="s">
        <v>36</v>
      </c>
      <c r="C26" s="63" t="s">
        <v>37</v>
      </c>
      <c r="D26" s="64">
        <v>0</v>
      </c>
      <c r="E26" s="65">
        <f>F21+1</f>
        <v>46131</v>
      </c>
      <c r="F26" s="65">
        <f>E26+1</f>
        <v>46132</v>
      </c>
      <c r="G26" s="10"/>
      <c r="H26" s="5"/>
      <c r="I26" s="42"/>
      <c r="J26" s="42"/>
      <c r="K26" s="42"/>
      <c r="L26" s="42"/>
      <c r="M26" s="42"/>
      <c r="N26" s="42"/>
      <c r="O26" s="42"/>
      <c r="P26" s="42"/>
      <c r="Q26" s="42"/>
      <c r="R26" s="42"/>
      <c r="S26" s="42"/>
      <c r="T26" s="42"/>
      <c r="U26" s="42"/>
      <c r="V26" s="42"/>
      <c r="W26" s="97"/>
      <c r="X26" s="94"/>
      <c r="Y26" s="97"/>
      <c r="Z26" s="87"/>
      <c r="AA26" s="42"/>
      <c r="AB26" s="42"/>
      <c r="AC26" s="42"/>
      <c r="AD26" s="42"/>
      <c r="AE26" s="42"/>
      <c r="AF26" s="42"/>
      <c r="AG26" s="42"/>
      <c r="AH26" s="42"/>
      <c r="AI26" s="42"/>
      <c r="AJ26" s="42"/>
      <c r="AK26" s="42"/>
      <c r="AL26" s="42"/>
      <c r="AM26" s="42"/>
      <c r="AN26" s="42"/>
      <c r="AO26" s="42"/>
      <c r="AP26" s="42"/>
      <c r="AQ26" s="42"/>
      <c r="AR26" s="42"/>
      <c r="AS26" s="87"/>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102"/>
      <c r="CF26" s="42"/>
      <c r="CG26" s="42"/>
    </row>
    <row r="27" spans="1:85" s="38" customFormat="1" ht="30" customHeight="1" thickBot="1" x14ac:dyDescent="0.3">
      <c r="A27" s="6"/>
      <c r="B27" s="62" t="s">
        <v>38</v>
      </c>
      <c r="C27" s="63" t="s">
        <v>39</v>
      </c>
      <c r="D27" s="64">
        <v>1</v>
      </c>
      <c r="E27" s="65">
        <f>Project_Start</f>
        <v>46078</v>
      </c>
      <c r="F27" s="65">
        <f>E27+1</f>
        <v>46079</v>
      </c>
      <c r="G27" s="10"/>
      <c r="H27" s="5"/>
      <c r="I27" s="42"/>
      <c r="J27" s="42"/>
      <c r="K27" s="42"/>
      <c r="L27" s="42"/>
      <c r="M27" s="42"/>
      <c r="N27" s="42"/>
      <c r="O27" s="42"/>
      <c r="P27" s="42"/>
      <c r="Q27" s="42"/>
      <c r="R27" s="42"/>
      <c r="S27" s="42"/>
      <c r="T27" s="42"/>
      <c r="U27" s="42"/>
      <c r="V27" s="42"/>
      <c r="W27" s="97"/>
      <c r="X27" s="94"/>
      <c r="Y27" s="97"/>
      <c r="Z27" s="87"/>
      <c r="AA27" s="42"/>
      <c r="AB27" s="42"/>
      <c r="AC27" s="42"/>
      <c r="AD27" s="42"/>
      <c r="AE27" s="42"/>
      <c r="AF27" s="42"/>
      <c r="AG27" s="42"/>
      <c r="AH27" s="42"/>
      <c r="AI27" s="42"/>
      <c r="AJ27" s="42"/>
      <c r="AK27" s="42"/>
      <c r="AL27" s="42"/>
      <c r="AM27" s="42"/>
      <c r="AN27" s="42"/>
      <c r="AO27" s="42"/>
      <c r="AP27" s="42"/>
      <c r="AQ27" s="42"/>
      <c r="AR27" s="42"/>
      <c r="AS27" s="87"/>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102"/>
      <c r="CF27" s="42"/>
      <c r="CG27" s="42"/>
    </row>
    <row r="28" spans="1:85" s="38" customFormat="1" ht="30" customHeight="1" thickBot="1" x14ac:dyDescent="0.3">
      <c r="A28" s="6"/>
      <c r="B28" s="62" t="s">
        <v>40</v>
      </c>
      <c r="C28" s="63" t="s">
        <v>18</v>
      </c>
      <c r="D28" s="64">
        <v>0.5</v>
      </c>
      <c r="E28" s="65">
        <f>AI1-2</f>
        <v>46148</v>
      </c>
      <c r="F28" s="65">
        <f>E28+2</f>
        <v>46150</v>
      </c>
      <c r="G28" s="10"/>
      <c r="H28" s="5"/>
      <c r="I28" s="42"/>
      <c r="J28" s="42"/>
      <c r="K28" s="42"/>
      <c r="L28" s="42"/>
      <c r="M28" s="42"/>
      <c r="N28" s="42"/>
      <c r="O28" s="42"/>
      <c r="P28" s="42"/>
      <c r="Q28" s="42"/>
      <c r="R28" s="42"/>
      <c r="S28" s="42"/>
      <c r="T28" s="42"/>
      <c r="U28" s="42"/>
      <c r="V28" s="42"/>
      <c r="W28" s="97"/>
      <c r="X28" s="94"/>
      <c r="Y28" s="97"/>
      <c r="Z28" s="87"/>
      <c r="AA28" s="42"/>
      <c r="AB28" s="42"/>
      <c r="AC28" s="42"/>
      <c r="AD28" s="42"/>
      <c r="AE28" s="42"/>
      <c r="AF28" s="42"/>
      <c r="AG28" s="42"/>
      <c r="AH28" s="42"/>
      <c r="AI28" s="42"/>
      <c r="AJ28" s="42"/>
      <c r="AK28" s="42"/>
      <c r="AL28" s="42"/>
      <c r="AM28" s="42"/>
      <c r="AN28" s="42"/>
      <c r="AO28" s="42"/>
      <c r="AP28" s="42"/>
      <c r="AQ28" s="42"/>
      <c r="AR28" s="42"/>
      <c r="AS28" s="87"/>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102"/>
      <c r="CF28" s="42"/>
      <c r="CG28" s="42"/>
    </row>
    <row r="29" spans="1:85" s="38" customFormat="1" ht="30" customHeight="1" thickBot="1" x14ac:dyDescent="0.3">
      <c r="A29" s="6"/>
      <c r="B29" s="66" t="s">
        <v>41</v>
      </c>
      <c r="C29" s="67"/>
      <c r="D29" s="68"/>
      <c r="E29" s="69"/>
      <c r="F29" s="70"/>
      <c r="G29" s="10"/>
      <c r="H29" s="5" t="str">
        <f t="shared" si="26"/>
        <v/>
      </c>
      <c r="I29" s="71"/>
      <c r="J29" s="71"/>
      <c r="K29" s="71"/>
      <c r="L29" s="71"/>
      <c r="M29" s="71"/>
      <c r="N29" s="71"/>
      <c r="O29" s="71"/>
      <c r="P29" s="71"/>
      <c r="Q29" s="71"/>
      <c r="R29" s="71"/>
      <c r="S29" s="71"/>
      <c r="T29" s="71"/>
      <c r="U29" s="71"/>
      <c r="V29" s="71"/>
      <c r="W29" s="71"/>
      <c r="X29" s="92"/>
      <c r="Y29" s="71"/>
      <c r="Z29" s="90"/>
      <c r="AA29" s="71"/>
      <c r="AB29" s="71"/>
      <c r="AC29" s="71"/>
      <c r="AD29" s="71"/>
      <c r="AE29" s="71"/>
      <c r="AF29" s="71"/>
      <c r="AG29" s="71"/>
      <c r="AH29" s="71"/>
      <c r="AI29" s="71"/>
      <c r="AJ29" s="71"/>
      <c r="AK29" s="71"/>
      <c r="AL29" s="71"/>
      <c r="AM29" s="71"/>
      <c r="AN29" s="71"/>
      <c r="AO29" s="71"/>
      <c r="AP29" s="71"/>
      <c r="AQ29" s="71"/>
      <c r="AR29" s="71"/>
      <c r="AS29" s="90"/>
      <c r="AT29" s="71"/>
      <c r="AU29" s="71"/>
      <c r="AV29" s="71"/>
      <c r="AW29" s="71"/>
      <c r="AX29" s="71"/>
      <c r="AY29" s="71"/>
      <c r="AZ29" s="71"/>
      <c r="BA29" s="71"/>
      <c r="BB29" s="71"/>
      <c r="BC29" s="71"/>
      <c r="BD29" s="71"/>
      <c r="BE29" s="71"/>
      <c r="BF29" s="71"/>
      <c r="BG29" s="71"/>
      <c r="BH29" s="71"/>
      <c r="BI29" s="71"/>
      <c r="BJ29" s="71"/>
      <c r="BK29" s="71"/>
      <c r="BL29" s="71"/>
      <c r="BM29" s="71"/>
      <c r="BN29" s="71"/>
      <c r="BO29" s="71"/>
      <c r="BP29" s="71"/>
      <c r="BQ29" s="71"/>
      <c r="BR29" s="71"/>
      <c r="BS29" s="71"/>
      <c r="BT29" s="71"/>
      <c r="BU29" s="71"/>
      <c r="BV29" s="71"/>
      <c r="BW29" s="71"/>
      <c r="BX29" s="71"/>
      <c r="BY29" s="71"/>
      <c r="BZ29" s="71"/>
      <c r="CA29" s="71"/>
      <c r="CB29" s="71"/>
      <c r="CC29" s="71"/>
      <c r="CD29" s="71"/>
      <c r="CE29" s="105"/>
      <c r="CF29" s="71"/>
      <c r="CG29" s="71"/>
    </row>
    <row r="30" spans="1:85" s="38" customFormat="1" ht="30" customHeight="1" thickBot="1" x14ac:dyDescent="0.3">
      <c r="A30" s="6"/>
      <c r="B30" s="72" t="s">
        <v>42</v>
      </c>
      <c r="C30" s="73" t="s">
        <v>18</v>
      </c>
      <c r="D30" s="74">
        <v>0.7</v>
      </c>
      <c r="E30" s="75">
        <f>Project_Start</f>
        <v>46078</v>
      </c>
      <c r="F30" s="75">
        <f>AI1-1</f>
        <v>46149</v>
      </c>
      <c r="G30" s="10"/>
      <c r="H30" s="5">
        <f t="shared" si="26"/>
        <v>72</v>
      </c>
      <c r="I30" s="42"/>
      <c r="J30" s="42"/>
      <c r="K30" s="42"/>
      <c r="L30" s="42"/>
      <c r="M30" s="42"/>
      <c r="N30" s="42"/>
      <c r="O30" s="42"/>
      <c r="P30" s="42"/>
      <c r="Q30" s="42"/>
      <c r="R30" s="42"/>
      <c r="S30" s="42"/>
      <c r="T30" s="42"/>
      <c r="U30" s="42"/>
      <c r="V30" s="42"/>
      <c r="W30" s="97"/>
      <c r="X30" s="94"/>
      <c r="Y30" s="97"/>
      <c r="Z30" s="87"/>
      <c r="AA30" s="42"/>
      <c r="AB30" s="42"/>
      <c r="AC30" s="42"/>
      <c r="AD30" s="42"/>
      <c r="AE30" s="42"/>
      <c r="AF30" s="42"/>
      <c r="AG30" s="42"/>
      <c r="AH30" s="42"/>
      <c r="AI30" s="42"/>
      <c r="AJ30" s="42"/>
      <c r="AK30" s="42"/>
      <c r="AL30" s="42"/>
      <c r="AM30" s="42"/>
      <c r="AN30" s="42"/>
      <c r="AO30" s="42"/>
      <c r="AP30" s="42"/>
      <c r="AQ30" s="42"/>
      <c r="AR30" s="42"/>
      <c r="AS30" s="87"/>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102"/>
      <c r="CF30" s="42"/>
      <c r="CG30" s="42"/>
    </row>
    <row r="31" spans="1:85" s="38" customFormat="1" ht="30" customHeight="1" thickBot="1" x14ac:dyDescent="0.3">
      <c r="A31" s="6"/>
      <c r="B31" s="72" t="s">
        <v>43</v>
      </c>
      <c r="C31" s="73" t="s">
        <v>18</v>
      </c>
      <c r="D31" s="74">
        <v>0.15</v>
      </c>
      <c r="E31" s="75">
        <f>Project_Start</f>
        <v>46078</v>
      </c>
      <c r="F31" s="75">
        <f>AI1-1</f>
        <v>46149</v>
      </c>
      <c r="G31" s="10"/>
      <c r="H31" s="5"/>
      <c r="I31" s="42"/>
      <c r="J31" s="42"/>
      <c r="K31" s="42"/>
      <c r="L31" s="42"/>
      <c r="M31" s="42"/>
      <c r="N31" s="42"/>
      <c r="O31" s="42"/>
      <c r="P31" s="42"/>
      <c r="Q31" s="42"/>
      <c r="R31" s="42"/>
      <c r="S31" s="42"/>
      <c r="T31" s="42"/>
      <c r="U31" s="42"/>
      <c r="V31" s="42"/>
      <c r="W31" s="97"/>
      <c r="X31" s="94"/>
      <c r="Y31" s="97"/>
      <c r="Z31" s="87"/>
      <c r="AA31" s="42"/>
      <c r="AB31" s="42"/>
      <c r="AC31" s="42"/>
      <c r="AD31" s="42"/>
      <c r="AE31" s="42"/>
      <c r="AF31" s="42"/>
      <c r="AG31" s="42"/>
      <c r="AH31" s="42"/>
      <c r="AI31" s="42"/>
      <c r="AJ31" s="42"/>
      <c r="AK31" s="42"/>
      <c r="AL31" s="42"/>
      <c r="AM31" s="42"/>
      <c r="AN31" s="42"/>
      <c r="AO31" s="42"/>
      <c r="AP31" s="42"/>
      <c r="AQ31" s="42"/>
      <c r="AR31" s="42"/>
      <c r="AS31" s="87"/>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c r="CD31" s="42"/>
      <c r="CE31" s="102"/>
      <c r="CF31" s="42"/>
      <c r="CG31" s="42"/>
    </row>
    <row r="32" spans="1:85" s="38" customFormat="1" ht="30" customHeight="1" thickBot="1" x14ac:dyDescent="0.3">
      <c r="A32" s="6"/>
      <c r="B32" s="72" t="s">
        <v>44</v>
      </c>
      <c r="C32" s="73" t="s">
        <v>18</v>
      </c>
      <c r="D32" s="74">
        <v>0</v>
      </c>
      <c r="E32" s="75">
        <f>E14</f>
        <v>46094</v>
      </c>
      <c r="F32" s="75">
        <f>F28-1</f>
        <v>46149</v>
      </c>
      <c r="G32" s="10"/>
      <c r="H32" s="5">
        <f t="shared" si="26"/>
        <v>56</v>
      </c>
      <c r="I32" s="42"/>
      <c r="J32" s="42"/>
      <c r="K32" s="42"/>
      <c r="L32" s="42"/>
      <c r="M32" s="42"/>
      <c r="N32" s="42"/>
      <c r="O32" s="42"/>
      <c r="P32" s="42"/>
      <c r="Q32" s="42"/>
      <c r="R32" s="42"/>
      <c r="S32" s="42"/>
      <c r="T32" s="42"/>
      <c r="U32" s="42"/>
      <c r="V32" s="42"/>
      <c r="W32" s="97"/>
      <c r="X32" s="94"/>
      <c r="Y32" s="97"/>
      <c r="Z32" s="87"/>
      <c r="AA32" s="42"/>
      <c r="AB32" s="42"/>
      <c r="AC32" s="42"/>
      <c r="AD32" s="42"/>
      <c r="AE32" s="42"/>
      <c r="AF32" s="42"/>
      <c r="AG32" s="42"/>
      <c r="AH32" s="42"/>
      <c r="AI32" s="42"/>
      <c r="AJ32" s="42"/>
      <c r="AK32" s="42"/>
      <c r="AL32" s="42"/>
      <c r="AM32" s="42"/>
      <c r="AN32" s="42"/>
      <c r="AO32" s="42"/>
      <c r="AP32" s="42"/>
      <c r="AQ32" s="42"/>
      <c r="AR32" s="42"/>
      <c r="AS32" s="87"/>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102"/>
      <c r="CF32" s="42"/>
      <c r="CG32" s="42"/>
    </row>
    <row r="33" spans="1:85" s="38" customFormat="1" ht="30" customHeight="1" thickBot="1" x14ac:dyDescent="0.3">
      <c r="A33" s="6"/>
      <c r="B33" s="72" t="s">
        <v>45</v>
      </c>
      <c r="C33" s="73" t="s">
        <v>18</v>
      </c>
      <c r="D33" s="74">
        <v>0</v>
      </c>
      <c r="E33" s="75">
        <f>F28</f>
        <v>46150</v>
      </c>
      <c r="F33" s="75">
        <f>E33+1</f>
        <v>46151</v>
      </c>
      <c r="G33" s="10"/>
      <c r="H33" s="5">
        <f t="shared" si="26"/>
        <v>2</v>
      </c>
      <c r="I33" s="42"/>
      <c r="J33" s="42"/>
      <c r="K33" s="42"/>
      <c r="L33" s="42"/>
      <c r="M33" s="42"/>
      <c r="N33" s="42"/>
      <c r="O33" s="42"/>
      <c r="P33" s="42"/>
      <c r="Q33" s="42"/>
      <c r="R33" s="42"/>
      <c r="S33" s="42"/>
      <c r="T33" s="42"/>
      <c r="U33" s="42"/>
      <c r="V33" s="42"/>
      <c r="W33" s="97"/>
      <c r="X33" s="94"/>
      <c r="Y33" s="97"/>
      <c r="Z33" s="87"/>
      <c r="AA33" s="42"/>
      <c r="AB33" s="42"/>
      <c r="AC33" s="42"/>
      <c r="AD33" s="42"/>
      <c r="AE33" s="42"/>
      <c r="AF33" s="42"/>
      <c r="AG33" s="42"/>
      <c r="AH33" s="42"/>
      <c r="AI33" s="42"/>
      <c r="AJ33" s="42"/>
      <c r="AK33" s="42"/>
      <c r="AL33" s="42"/>
      <c r="AM33" s="42"/>
      <c r="AN33" s="42"/>
      <c r="AO33" s="42"/>
      <c r="AP33" s="42"/>
      <c r="AQ33" s="42"/>
      <c r="AR33" s="42"/>
      <c r="AS33" s="87"/>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c r="CD33" s="42"/>
      <c r="CE33" s="102"/>
      <c r="CF33" s="42"/>
      <c r="CG33" s="42"/>
    </row>
    <row r="34" spans="1:85" s="38" customFormat="1" ht="30" customHeight="1" thickBot="1" x14ac:dyDescent="0.3">
      <c r="A34" s="6"/>
      <c r="B34" s="76"/>
      <c r="C34" s="77"/>
      <c r="D34" s="78"/>
      <c r="E34" s="79"/>
      <c r="F34" s="79"/>
      <c r="G34" s="10"/>
      <c r="H34" s="5" t="str">
        <f t="shared" si="26"/>
        <v/>
      </c>
      <c r="I34" s="37"/>
      <c r="J34" s="37"/>
      <c r="K34" s="37"/>
      <c r="L34" s="37"/>
      <c r="M34" s="37"/>
      <c r="N34" s="37"/>
      <c r="O34" s="37"/>
      <c r="P34" s="37"/>
      <c r="Q34" s="37"/>
      <c r="R34" s="37"/>
      <c r="S34" s="37"/>
      <c r="T34" s="37"/>
      <c r="U34" s="37"/>
      <c r="V34" s="37"/>
      <c r="W34" s="37"/>
      <c r="X34" s="96"/>
      <c r="Y34" s="37"/>
      <c r="Z34" s="86"/>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row>
    <row r="35" spans="1:85" ht="30" customHeight="1" x14ac:dyDescent="0.25">
      <c r="G35" s="3"/>
    </row>
    <row r="36" spans="1:85" ht="30" customHeight="1" x14ac:dyDescent="0.25">
      <c r="C36" s="9"/>
      <c r="F36" s="8"/>
    </row>
    <row r="37" spans="1:85" ht="30" customHeight="1" x14ac:dyDescent="0.25">
      <c r="C37" s="4"/>
    </row>
  </sheetData>
  <mergeCells count="23">
    <mergeCell ref="BM4:BS4"/>
    <mergeCell ref="BT4:BZ4"/>
    <mergeCell ref="CA4:CG4"/>
    <mergeCell ref="BF4:BL4"/>
    <mergeCell ref="I4:O4"/>
    <mergeCell ref="P4:V4"/>
    <mergeCell ref="W4:AC4"/>
    <mergeCell ref="AD4:AJ4"/>
    <mergeCell ref="AK4:AQ4"/>
    <mergeCell ref="AR4:AX4"/>
    <mergeCell ref="AY4:BE4"/>
    <mergeCell ref="AA1:AG1"/>
    <mergeCell ref="AI1:AR1"/>
    <mergeCell ref="A5:A6"/>
    <mergeCell ref="B5:B6"/>
    <mergeCell ref="C5:C6"/>
    <mergeCell ref="D5:D6"/>
    <mergeCell ref="E5:E6"/>
    <mergeCell ref="F5:F6"/>
    <mergeCell ref="Q2:Z2"/>
    <mergeCell ref="Q1:Z1"/>
    <mergeCell ref="I1:O1"/>
    <mergeCell ref="I2:O2"/>
  </mergeCells>
  <phoneticPr fontId="23" type="noConversion"/>
  <conditionalFormatting sqref="D7:D3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15 BM4:CG33 X16 I16:W18 Y16:BL18 I19:BL33">
    <cfRule type="expression" dxfId="8" priority="1">
      <formula>AND(TODAY()&gt;=I$5, TODAY()&lt;J$5)</formula>
    </cfRule>
  </conditionalFormatting>
  <conditionalFormatting sqref="I14:BL15 BM14:CG18 X16 I16:W18 Y16:BL18">
    <cfRule type="expression" dxfId="7" priority="4">
      <formula>AND(task_start&lt;=I$5,ROUNDDOWN((task_end-task_start+1)*task_progress,0)+task_start-1&gt;=I$5)</formula>
    </cfRule>
    <cfRule type="expression" dxfId="6" priority="5" stopIfTrue="1">
      <formula>AND(task_end&gt;=I$5,task_start&lt;J$5)</formula>
    </cfRule>
  </conditionalFormatting>
  <conditionalFormatting sqref="I9:CG12">
    <cfRule type="expression" dxfId="5" priority="6">
      <formula>AND(task_start&lt;=I$5,ROUNDDOWN((task_end-task_start+1)*task_progress,0)+task_start-1&gt;=I$5)</formula>
    </cfRule>
    <cfRule type="expression" dxfId="4" priority="7" stopIfTrue="1">
      <formula>AND(task_end&gt;=I$5,task_start&lt;J$5)</formula>
    </cfRule>
  </conditionalFormatting>
  <conditionalFormatting sqref="I20:CG28">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30:CG33">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1">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2" xr:uid="{D870A2F6-6B07-4F5A-A81D-4BCCFADF8796}"/>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9" xr:uid="{956902D1-D3B5-416D-BB69-9362D193BC0A}"/>
    <dataValidation allowBlank="1" showInputMessage="1" showErrorMessage="1" prompt="Phase 4's sample block starts in cell B26." sqref="A29" xr:uid="{DE54E5DE-526D-4D71-8D03-E99B4AB2FEE5}"/>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8</vt:i4>
      </vt:variant>
    </vt:vector>
  </HeadingPairs>
  <TitlesOfParts>
    <vt:vector size="9" baseType="lpstr">
      <vt:lpstr>Project schedule</vt:lpstr>
      <vt:lpstr>'Project schedule'!_Toc223019436</vt:lpstr>
      <vt:lpstr>'Project schedule'!_Toc223019439</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Michael Mccarthy</cp:lastModifiedBy>
  <cp:revision/>
  <dcterms:created xsi:type="dcterms:W3CDTF">2022-03-11T22:41:12Z</dcterms:created>
  <dcterms:modified xsi:type="dcterms:W3CDTF">2026-04-24T16:44:29Z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