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98786439_nebraska_edu/Documents/Spring 26/CIVE 202/Project #3 Steel Dream Design/"/>
    </mc:Choice>
  </mc:AlternateContent>
  <xr:revisionPtr revIDLastSave="491" documentId="8_{46590344-662F-4F00-854D-4252A0A74C5A}" xr6:coauthVersionLast="47" xr6:coauthVersionMax="47" xr10:uidLastSave="{6A0ED929-8BA1-4AED-B0CC-7DBC36A8D701}"/>
  <bookViews>
    <workbookView xWindow="-28920" yWindow="-5175" windowWidth="29040" windowHeight="15720" firstSheet="2" activeTab="11" xr2:uid="{00000000-000D-0000-FFFF-FFFF00000000}"/>
  </bookViews>
  <sheets>
    <sheet name="Week Ending 2.28" sheetId="1" r:id="rId1"/>
    <sheet name="Week Ending 3.7" sheetId="5" r:id="rId2"/>
    <sheet name="Week Ending 3.14" sheetId="6" r:id="rId3"/>
    <sheet name="Week Ending 3.21" sheetId="7" r:id="rId4"/>
    <sheet name="Week Ending 3.28" sheetId="8" r:id="rId5"/>
    <sheet name="Week Ending 4.4" sheetId="9" r:id="rId6"/>
    <sheet name="Week Ending 4.11" sheetId="10" r:id="rId7"/>
    <sheet name="Week Ending 4.18" sheetId="11" r:id="rId8"/>
    <sheet name="Week Ending 4.25" sheetId="12" r:id="rId9"/>
    <sheet name="Week Ending 5.2" sheetId="13" r:id="rId10"/>
    <sheet name="Week Ending 5.9" sheetId="14" r:id="rId11"/>
    <sheet name="Summary" sheetId="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C18" i="7"/>
  <c r="C19" i="7"/>
  <c r="C18" i="8"/>
  <c r="C18" i="9"/>
  <c r="G15" i="14"/>
  <c r="F11" i="14" a="1"/>
  <c r="F11" i="14"/>
  <c r="G11" i="14"/>
  <c r="F12" i="14" a="1"/>
  <c r="F12" i="14"/>
  <c r="G12" i="14"/>
  <c r="F13" i="14" a="1"/>
  <c r="F13" i="14"/>
  <c r="G13" i="14"/>
  <c r="F14" i="14" a="1"/>
  <c r="F14" i="14"/>
  <c r="G14" i="14"/>
  <c r="B13" i="14"/>
  <c r="B12" i="14"/>
  <c r="B11" i="14"/>
  <c r="F8" i="14" a="1"/>
  <c r="F8" i="14"/>
  <c r="G8" i="14"/>
  <c r="F9" i="14" a="1"/>
  <c r="F9" i="14"/>
  <c r="G9" i="14"/>
  <c r="F10" i="14" a="1"/>
  <c r="F10" i="14"/>
  <c r="G10" i="14"/>
  <c r="D15" i="14"/>
  <c r="F7" i="14" a="1"/>
  <c r="F7" i="14" s="1"/>
  <c r="G7" i="14" s="1"/>
  <c r="F6" i="14" a="1"/>
  <c r="F6" i="14" s="1"/>
  <c r="G6" i="14" s="1"/>
  <c r="C24" i="14" s="1"/>
  <c r="F5" i="14" a="1"/>
  <c r="F5" i="14" s="1"/>
  <c r="G5" i="14" s="1"/>
  <c r="F4" i="14" a="1"/>
  <c r="F4" i="14" s="1"/>
  <c r="G4" i="14" s="1"/>
  <c r="C23" i="14" s="1"/>
  <c r="F3" i="14" a="1"/>
  <c r="F3" i="14" s="1"/>
  <c r="G3" i="14" s="1"/>
  <c r="C22" i="14" s="1"/>
  <c r="B3" i="14"/>
  <c r="B4" i="14" s="1"/>
  <c r="B5" i="14" s="1"/>
  <c r="D9" i="13"/>
  <c r="F8" i="13" a="1"/>
  <c r="F8" i="13" s="1"/>
  <c r="G8" i="13" s="1"/>
  <c r="F7" i="13" a="1"/>
  <c r="F7" i="13" s="1"/>
  <c r="G7" i="13" s="1"/>
  <c r="F6" i="13" a="1"/>
  <c r="F6" i="13" s="1"/>
  <c r="G6" i="13" s="1"/>
  <c r="F5" i="13" a="1"/>
  <c r="F5" i="13" s="1"/>
  <c r="G5" i="13" s="1"/>
  <c r="C18" i="13" s="1"/>
  <c r="F4" i="13" a="1"/>
  <c r="F4" i="13" s="1"/>
  <c r="G4" i="13" s="1"/>
  <c r="C17" i="13" s="1"/>
  <c r="F3" i="13" a="1"/>
  <c r="F3" i="13" s="1"/>
  <c r="G3" i="13" s="1"/>
  <c r="B3" i="13"/>
  <c r="B4" i="13" s="1"/>
  <c r="B5" i="13" s="1"/>
  <c r="F10" i="12" a="1"/>
  <c r="F10" i="12" s="1"/>
  <c r="G10" i="12" s="1"/>
  <c r="B10" i="12"/>
  <c r="F11" i="12" a="1"/>
  <c r="F11" i="12" s="1"/>
  <c r="G11" i="12" s="1"/>
  <c r="F9" i="12" a="1"/>
  <c r="F9" i="12" s="1"/>
  <c r="G9" i="12" s="1"/>
  <c r="D12" i="12"/>
  <c r="F8" i="12" a="1"/>
  <c r="F8" i="12" s="1"/>
  <c r="G8" i="12" s="1"/>
  <c r="F7" i="12" a="1"/>
  <c r="F7" i="12" s="1"/>
  <c r="G7" i="12" s="1"/>
  <c r="F6" i="12" a="1"/>
  <c r="F6" i="12" s="1"/>
  <c r="G6" i="12" s="1"/>
  <c r="C20" i="12" s="1"/>
  <c r="B4" i="4" s="1"/>
  <c r="F5" i="12" a="1"/>
  <c r="F5" i="12" s="1"/>
  <c r="G5" i="12" s="1"/>
  <c r="C21" i="12" s="1"/>
  <c r="B5" i="4" s="1"/>
  <c r="F4" i="12" a="1"/>
  <c r="F4" i="12" s="1"/>
  <c r="G4" i="12" s="1"/>
  <c r="C18" i="12" s="1"/>
  <c r="B2" i="4" s="1"/>
  <c r="F3" i="12" a="1"/>
  <c r="F3" i="12" s="1"/>
  <c r="G3" i="12" s="1"/>
  <c r="B3" i="12"/>
  <c r="B4" i="12" s="1"/>
  <c r="B5" i="12" s="1"/>
  <c r="B6" i="10"/>
  <c r="F6" i="10" a="1"/>
  <c r="F6" i="10"/>
  <c r="G6" i="10"/>
  <c r="D9" i="11"/>
  <c r="F8" i="11" a="1"/>
  <c r="F8" i="11" s="1"/>
  <c r="G8" i="11" s="1"/>
  <c r="F7" i="11" a="1"/>
  <c r="F7" i="11" s="1"/>
  <c r="G7" i="11" s="1"/>
  <c r="F6" i="11" a="1"/>
  <c r="F6" i="11" s="1"/>
  <c r="G6" i="11" s="1"/>
  <c r="F5" i="11" a="1"/>
  <c r="F5" i="11" s="1"/>
  <c r="G5" i="11" s="1"/>
  <c r="F4" i="11" a="1"/>
  <c r="F4" i="11" s="1"/>
  <c r="G4" i="11" s="1"/>
  <c r="F3" i="11" a="1"/>
  <c r="F3" i="11" s="1"/>
  <c r="G3" i="11" s="1"/>
  <c r="G9" i="11" s="1"/>
  <c r="B3" i="11"/>
  <c r="B4" i="11" s="1"/>
  <c r="B5" i="11" s="1"/>
  <c r="C19" i="10"/>
  <c r="D10" i="10"/>
  <c r="F9" i="10" a="1"/>
  <c r="F9" i="10" s="1"/>
  <c r="G9" i="10" s="1"/>
  <c r="F8" i="10" a="1"/>
  <c r="F8" i="10" s="1"/>
  <c r="G8" i="10" s="1"/>
  <c r="F7" i="10" a="1"/>
  <c r="F7" i="10" s="1"/>
  <c r="G7" i="10" s="1"/>
  <c r="F5" i="10" a="1"/>
  <c r="F5" i="10" s="1"/>
  <c r="G5" i="10" s="1"/>
  <c r="F4" i="10" a="1"/>
  <c r="F4" i="10" s="1"/>
  <c r="G4" i="10" s="1"/>
  <c r="F3" i="10" a="1"/>
  <c r="F3" i="10" s="1"/>
  <c r="G3" i="10" s="1"/>
  <c r="G10" i="10" s="1"/>
  <c r="B3" i="10"/>
  <c r="B4" i="10" s="1"/>
  <c r="B5" i="10" s="1"/>
  <c r="D9" i="9"/>
  <c r="F8" i="9" a="1"/>
  <c r="F8" i="9" s="1"/>
  <c r="G8" i="9" s="1"/>
  <c r="F7" i="9" a="1"/>
  <c r="F7" i="9" s="1"/>
  <c r="G7" i="9" s="1"/>
  <c r="F6" i="9" a="1"/>
  <c r="F6" i="9" s="1"/>
  <c r="G6" i="9" s="1"/>
  <c r="F5" i="9" a="1"/>
  <c r="F5" i="9" s="1"/>
  <c r="G5" i="9" s="1"/>
  <c r="F4" i="9" a="1"/>
  <c r="F4" i="9" s="1"/>
  <c r="G4" i="9" s="1"/>
  <c r="F3" i="9" a="1"/>
  <c r="F3" i="9" s="1"/>
  <c r="G3" i="9" s="1"/>
  <c r="G9" i="9" s="1"/>
  <c r="B3" i="9"/>
  <c r="B4" i="9" s="1"/>
  <c r="B5" i="9" s="1"/>
  <c r="D9" i="8"/>
  <c r="F8" i="8" a="1"/>
  <c r="F8" i="8" s="1"/>
  <c r="G8" i="8" s="1"/>
  <c r="F7" i="8" a="1"/>
  <c r="F7" i="8" s="1"/>
  <c r="G7" i="8" s="1"/>
  <c r="F6" i="8" a="1"/>
  <c r="F6" i="8" s="1"/>
  <c r="G6" i="8" s="1"/>
  <c r="F5" i="8" a="1"/>
  <c r="F5" i="8" s="1"/>
  <c r="G5" i="8" s="1"/>
  <c r="C15" i="8" s="1"/>
  <c r="F4" i="8" a="1"/>
  <c r="F4" i="8" s="1"/>
  <c r="G4" i="8" s="1"/>
  <c r="F3" i="8" a="1"/>
  <c r="F3" i="8" s="1"/>
  <c r="G3" i="8" s="1"/>
  <c r="G9" i="8" s="1"/>
  <c r="B3" i="8"/>
  <c r="B4" i="8" s="1"/>
  <c r="B5" i="8" s="1"/>
  <c r="F4" i="7" a="1"/>
  <c r="F4" i="7"/>
  <c r="F5" i="7" a="1"/>
  <c r="F5" i="7"/>
  <c r="F6" i="7" a="1"/>
  <c r="F6" i="7"/>
  <c r="F7" i="7" a="1"/>
  <c r="F7" i="7"/>
  <c r="F8" i="7" a="1"/>
  <c r="F8" i="7"/>
  <c r="D9" i="7"/>
  <c r="G8" i="7"/>
  <c r="G7" i="7"/>
  <c r="G6" i="7"/>
  <c r="G5" i="7"/>
  <c r="C15" i="7" s="1"/>
  <c r="G4" i="7"/>
  <c r="C17" i="7" s="1"/>
  <c r="F3" i="7" a="1"/>
  <c r="F3" i="7" s="1"/>
  <c r="G3" i="7" s="1"/>
  <c r="B3" i="7"/>
  <c r="B4" i="7" s="1"/>
  <c r="B5" i="7" s="1"/>
  <c r="F3" i="6" a="1"/>
  <c r="F3" i="6"/>
  <c r="F6" i="6" a="1"/>
  <c r="F6" i="6"/>
  <c r="G6" i="6"/>
  <c r="B6" i="6"/>
  <c r="D9" i="6"/>
  <c r="F8" i="6" a="1"/>
  <c r="F8" i="6" s="1"/>
  <c r="G8" i="6" s="1"/>
  <c r="F7" i="6" a="1"/>
  <c r="F7" i="6" s="1"/>
  <c r="G7" i="6" s="1"/>
  <c r="F5" i="6" a="1"/>
  <c r="F5" i="6" s="1"/>
  <c r="G5" i="6" s="1"/>
  <c r="C15" i="6" s="1"/>
  <c r="F4" i="6" a="1"/>
  <c r="F4" i="6" s="1"/>
  <c r="G4" i="6" s="1"/>
  <c r="C17" i="6" s="1"/>
  <c r="G3" i="6"/>
  <c r="B3" i="6"/>
  <c r="B4" i="6" s="1"/>
  <c r="B5" i="6" s="1"/>
  <c r="B7" i="6" s="1"/>
  <c r="B8" i="6" s="1"/>
  <c r="G7" i="5"/>
  <c r="G8" i="5"/>
  <c r="G9" i="5"/>
  <c r="F7" i="5" a="1"/>
  <c r="F7" i="5"/>
  <c r="F8" i="5" a="1"/>
  <c r="F8" i="5"/>
  <c r="F9" i="5" a="1"/>
  <c r="F9" i="5"/>
  <c r="B8" i="5"/>
  <c r="B7" i="5"/>
  <c r="D10" i="5"/>
  <c r="F6" i="5" a="1"/>
  <c r="F6" i="5" s="1"/>
  <c r="G6" i="5" s="1"/>
  <c r="F5" i="5" a="1"/>
  <c r="F5" i="5" s="1"/>
  <c r="G5" i="5" s="1"/>
  <c r="F4" i="5" a="1"/>
  <c r="F4" i="5" s="1"/>
  <c r="G4" i="5" s="1"/>
  <c r="F3" i="5" a="1"/>
  <c r="F3" i="5" s="1"/>
  <c r="G3" i="5" s="1"/>
  <c r="B3" i="5"/>
  <c r="B4" i="5" s="1"/>
  <c r="B5" i="5" s="1"/>
  <c r="B6" i="5" s="1"/>
  <c r="B9" i="5" s="1"/>
  <c r="B3" i="1"/>
  <c r="B4" i="1"/>
  <c r="B5" i="1" s="1"/>
  <c r="B6" i="1" s="1"/>
  <c r="B7" i="1" s="1"/>
  <c r="F4" i="1" a="1"/>
  <c r="F4" i="1"/>
  <c r="G4" i="1" s="1"/>
  <c r="F5" i="1" a="1"/>
  <c r="F5" i="1"/>
  <c r="G5" i="1" s="1"/>
  <c r="C16" i="1" s="1"/>
  <c r="F6" i="1" a="1"/>
  <c r="F6" i="1"/>
  <c r="G6" i="1" s="1"/>
  <c r="F7" i="1" a="1"/>
  <c r="F7" i="1"/>
  <c r="G7" i="1" s="1"/>
  <c r="C15" i="1" s="1"/>
  <c r="F3" i="1" a="1"/>
  <c r="F3" i="1"/>
  <c r="G3" i="1"/>
  <c r="C14" i="1" s="1"/>
  <c r="D8" i="1"/>
  <c r="G9" i="13" l="1"/>
  <c r="C15" i="13"/>
  <c r="C16" i="13"/>
  <c r="C17" i="8"/>
  <c r="C16" i="8"/>
  <c r="C19" i="8" s="1"/>
  <c r="C15" i="9"/>
  <c r="C17" i="9"/>
  <c r="C17" i="10"/>
  <c r="C16" i="10"/>
  <c r="C18" i="10"/>
  <c r="C17" i="11"/>
  <c r="C15" i="11"/>
  <c r="G12" i="12"/>
  <c r="C19" i="12"/>
  <c r="B3" i="4" s="1"/>
  <c r="C9" i="4" s="1"/>
  <c r="C21" i="14"/>
  <c r="C25" i="14"/>
  <c r="B7" i="14"/>
  <c r="B6" i="14"/>
  <c r="B8" i="14" s="1"/>
  <c r="B10" i="14" s="1"/>
  <c r="B7" i="13"/>
  <c r="B8" i="13" s="1"/>
  <c r="B6" i="13"/>
  <c r="C19" i="13"/>
  <c r="C16" i="11"/>
  <c r="C18" i="11"/>
  <c r="B7" i="12"/>
  <c r="B8" i="12" s="1"/>
  <c r="B9" i="12" s="1"/>
  <c r="B11" i="12" s="1"/>
  <c r="B6" i="12"/>
  <c r="C22" i="12"/>
  <c r="B7" i="11"/>
  <c r="B8" i="11" s="1"/>
  <c r="B6" i="11"/>
  <c r="C19" i="11"/>
  <c r="C20" i="10"/>
  <c r="C16" i="9"/>
  <c r="C19" i="9" s="1"/>
  <c r="B7" i="9"/>
  <c r="B8" i="9" s="1"/>
  <c r="B6" i="9"/>
  <c r="B7" i="8"/>
  <c r="B8" i="8" s="1"/>
  <c r="B6" i="8"/>
  <c r="B7" i="7"/>
  <c r="B8" i="7" s="1"/>
  <c r="B6" i="7"/>
  <c r="C16" i="7"/>
  <c r="G9" i="7"/>
  <c r="C16" i="6"/>
  <c r="G9" i="6"/>
  <c r="C18" i="6"/>
  <c r="C18" i="5"/>
  <c r="C17" i="5"/>
  <c r="C16" i="5"/>
  <c r="C19" i="5" s="1"/>
  <c r="G10" i="5"/>
  <c r="C17" i="1"/>
  <c r="G8" i="1"/>
  <c r="B14" i="14" l="1"/>
  <c r="B9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<sst xmlns="http://schemas.openxmlformats.org/spreadsheetml/2006/main" count="378" uniqueCount="45">
  <si>
    <t xml:space="preserve">Week Ending </t>
  </si>
  <si>
    <r>
      <rPr>
        <b/>
        <sz val="12"/>
        <color rgb="FF000000"/>
        <rFont val="Aptos"/>
      </rPr>
      <t>Day of Week</t>
    </r>
    <r>
      <rPr>
        <sz val="12"/>
        <color rgb="FF000000"/>
        <rFont val="Aptos"/>
      </rPr>
      <t> </t>
    </r>
  </si>
  <si>
    <r>
      <t>Date</t>
    </r>
    <r>
      <rPr>
        <sz val="12"/>
        <color theme="1"/>
        <rFont val="Aptos"/>
        <family val="2"/>
      </rPr>
      <t> </t>
    </r>
  </si>
  <si>
    <r>
      <t>Person</t>
    </r>
    <r>
      <rPr>
        <sz val="12"/>
        <color theme="1"/>
        <rFont val="Aptos"/>
        <family val="2"/>
      </rPr>
      <t> </t>
    </r>
  </si>
  <si>
    <r>
      <t>Hours Worked</t>
    </r>
    <r>
      <rPr>
        <sz val="12"/>
        <color theme="1"/>
        <rFont val="Aptos"/>
        <family val="2"/>
      </rPr>
      <t> </t>
    </r>
  </si>
  <si>
    <r>
      <t>Tasks completed</t>
    </r>
    <r>
      <rPr>
        <sz val="12"/>
        <color theme="1"/>
        <rFont val="Aptos"/>
        <family val="2"/>
      </rPr>
      <t> </t>
    </r>
  </si>
  <si>
    <r>
      <t>Hourly Rate</t>
    </r>
    <r>
      <rPr>
        <sz val="12"/>
        <color theme="1"/>
        <rFont val="Aptos"/>
        <family val="2"/>
      </rPr>
      <t> </t>
    </r>
  </si>
  <si>
    <r>
      <t>Total Compensation</t>
    </r>
    <r>
      <rPr>
        <sz val="12"/>
        <color theme="1"/>
        <rFont val="Aptos"/>
        <family val="2"/>
      </rPr>
      <t> </t>
    </r>
  </si>
  <si>
    <t>Monday </t>
  </si>
  <si>
    <t>Tyler</t>
  </si>
  <si>
    <t>Added deliverables and project tasks section to SOW</t>
  </si>
  <si>
    <t>Tuesday</t>
  </si>
  <si>
    <t>Jacob</t>
  </si>
  <si>
    <t>Format SOW, input roles and responsibilities</t>
  </si>
  <si>
    <t>Wednesday</t>
  </si>
  <si>
    <t>Michael</t>
  </si>
  <si>
    <t>Review and finalize goals and objectives of SOW</t>
  </si>
  <si>
    <t>Thursday</t>
  </si>
  <si>
    <t>Submit SOW</t>
  </si>
  <si>
    <t>Friday </t>
  </si>
  <si>
    <t>Create Timesheet Template</t>
  </si>
  <si>
    <r>
      <t>Total</t>
    </r>
    <r>
      <rPr>
        <sz val="12"/>
        <color theme="1"/>
        <rFont val="Aptos"/>
        <family val="2"/>
      </rPr>
      <t> </t>
    </r>
  </si>
  <si>
    <t>Individual Totals for the Week</t>
  </si>
  <si>
    <t>Cost</t>
  </si>
  <si>
    <t>TOTAL COST</t>
  </si>
  <si>
    <t xml:space="preserve">Friday </t>
  </si>
  <si>
    <t>Flow Chart Discussion</t>
  </si>
  <si>
    <t>Complete and submit flow diagram</t>
  </si>
  <si>
    <t>Bryce</t>
  </si>
  <si>
    <t>Work on creating reproducable methods</t>
  </si>
  <si>
    <t>Start writing up the initial code</t>
  </si>
  <si>
    <t>Continue working on code for initial results</t>
  </si>
  <si>
    <t>Review initial results</t>
  </si>
  <si>
    <t>Review/TA checkin</t>
  </si>
  <si>
    <t>Review code, and other files to catch up to speed with the progress</t>
  </si>
  <si>
    <t>Compile files for peer review</t>
  </si>
  <si>
    <t>Lab Work time</t>
  </si>
  <si>
    <t>Create, and draft the formal report</t>
  </si>
  <si>
    <t>Annotated Code document, update required documents</t>
  </si>
  <si>
    <t>Finishing touches on the code portion</t>
  </si>
  <si>
    <t>Create both technical and non-technical executive summaries, as well as final touches for the project</t>
  </si>
  <si>
    <t>Person</t>
  </si>
  <si>
    <t>Personal Compensation</t>
  </si>
  <si>
    <t>Total Hours Worked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</si>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</sst>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_([$$-409]* #,##0.00_);_([$$-409]* \(#,##0.00\);_([$$-409]* &quot;-&quot;??_);_(@_)"/>
  </numFmts>
  <fonts count="7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</font>
    <font>
      <sz val="12"/>
      <color rgb="FF000000"/>
      <name val="Aptos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vertical="center" wrapText="1"/>
    </xf>
    <xf numFmtId="165" fontId="1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5" fillId="0" borderId="0" xfId="0" applyFont="1"/>
    <xf numFmtId="14" fontId="6" fillId="0" borderId="0" xfId="0" applyNumberFormat="1" applyFont="1"/>
    <xf numFmtId="165" fontId="1" fillId="0" borderId="6" xfId="0" applyNumberFormat="1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vertical="center" wrapText="1"/>
    </xf>
    <xf numFmtId="166" fontId="0" fillId="0" borderId="0" xfId="0" applyNumberFormat="1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1" fillId="0" borderId="1" xfId="0" applyNumberFormat="1" applyFont="1" applyBorder="1" applyAlignment="1">
      <alignment wrapText="1"/>
    </xf>
    <xf numFmtId="165" fontId="1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C17" sqref="C17"/>
    </sheetView>
  </sheetViews>
  <sheetFormatPr defaultRowHeight="14.4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 ht="15">
      <c r="A1" s="12" t="s">
        <v>0</v>
      </c>
      <c r="B1" s="13">
        <v>46081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46076</v>
      </c>
      <c r="C3" s="1" t="s">
        <v>9</v>
      </c>
      <c r="D3" s="6">
        <v>1</v>
      </c>
      <c r="E3" s="1" t="s">
        <v>10</v>
      </c>
      <c r="F3" s="9" cm="1">
        <f t="array" ref="F3">_xlfn.IFS(C3="Tyler",21.5,C3="Jacob",22.5,C3="Michael",21.5)</f>
        <v>21.5</v>
      </c>
      <c r="G3" s="7">
        <f>D3*F3</f>
        <v>21.5</v>
      </c>
    </row>
    <row r="4" spans="1:7" ht="15.75">
      <c r="A4" s="11" t="s">
        <v>11</v>
      </c>
      <c r="B4" s="11">
        <f>B3+1</f>
        <v>46077</v>
      </c>
      <c r="C4" s="1" t="s">
        <v>12</v>
      </c>
      <c r="D4" s="6">
        <v>1.5</v>
      </c>
      <c r="E4" s="1" t="s">
        <v>13</v>
      </c>
      <c r="F4" s="9" cm="1">
        <f t="array" ref="F4">_xlfn.IFS(C4="Tyler",21.5,C4="Jacob",22.5,C4="Michael",21.5)</f>
        <v>22.5</v>
      </c>
      <c r="G4" s="7">
        <f t="shared" ref="G4:G7" si="0">D4*F4</f>
        <v>33.75</v>
      </c>
    </row>
    <row r="5" spans="1:7" ht="15.75">
      <c r="A5" s="11" t="s">
        <v>14</v>
      </c>
      <c r="B5" s="11">
        <f t="shared" ref="B5:B7" si="1">B4+1</f>
        <v>46078</v>
      </c>
      <c r="C5" s="1" t="s">
        <v>15</v>
      </c>
      <c r="D5" s="6">
        <v>1</v>
      </c>
      <c r="E5" s="1" t="s">
        <v>16</v>
      </c>
      <c r="F5" s="9" cm="1">
        <f t="array" ref="F5">_xlfn.IFS(C5="Tyler",21.5,C5="Jacob",22.5,C5="Michael",21.5)</f>
        <v>21.5</v>
      </c>
      <c r="G5" s="7">
        <f t="shared" si="0"/>
        <v>21.5</v>
      </c>
    </row>
    <row r="6" spans="1:7" ht="15.75">
      <c r="A6" s="11" t="s">
        <v>17</v>
      </c>
      <c r="B6" s="11">
        <f t="shared" si="1"/>
        <v>46079</v>
      </c>
      <c r="C6" s="1" t="s">
        <v>12</v>
      </c>
      <c r="D6" s="6">
        <v>0.2</v>
      </c>
      <c r="E6" s="1" t="s">
        <v>18</v>
      </c>
      <c r="F6" s="9" cm="1">
        <f t="array" ref="F6">_xlfn.IFS(C6="Tyler",21.5,C6="Jacob",22.5,C6="Michael",21.5)</f>
        <v>22.5</v>
      </c>
      <c r="G6" s="7">
        <f t="shared" si="0"/>
        <v>4.5</v>
      </c>
    </row>
    <row r="7" spans="1:7" ht="15.75">
      <c r="A7" s="4" t="s">
        <v>19</v>
      </c>
      <c r="B7" s="11">
        <f t="shared" si="1"/>
        <v>46080</v>
      </c>
      <c r="C7" s="1" t="s">
        <v>12</v>
      </c>
      <c r="D7" s="6">
        <v>0.4</v>
      </c>
      <c r="E7" s="1" t="s">
        <v>20</v>
      </c>
      <c r="F7" s="9" cm="1">
        <f t="array" ref="F7">_xlfn.IFS(C7="Tyler",21.5,C7="Jacob",22.5,C7="Michael",21.5)</f>
        <v>22.5</v>
      </c>
      <c r="G7" s="7">
        <f t="shared" si="0"/>
        <v>9</v>
      </c>
    </row>
    <row r="8" spans="1:7" ht="15.6">
      <c r="A8" s="17" t="s">
        <v>21</v>
      </c>
      <c r="B8" s="18"/>
      <c r="C8" s="19"/>
      <c r="D8" s="5">
        <f>SUM(D3:D7)</f>
        <v>4.1000000000000005</v>
      </c>
      <c r="E8" s="20" t="s">
        <v>21</v>
      </c>
      <c r="F8" s="19"/>
      <c r="G8" s="8">
        <f>SUM(G3:G7)</f>
        <v>90.25</v>
      </c>
    </row>
    <row r="11" spans="1:7" ht="15"/>
    <row r="12" spans="1:7" ht="15">
      <c r="B12" s="21" t="s">
        <v>22</v>
      </c>
      <c r="C12" s="22" t="s">
        <v>23</v>
      </c>
    </row>
    <row r="13" spans="1:7" ht="15">
      <c r="B13" s="21"/>
      <c r="C13" s="22"/>
    </row>
    <row r="14" spans="1:7" ht="15.6" customHeight="1">
      <c r="B14" t="s">
        <v>9</v>
      </c>
      <c r="C14">
        <f>SUMIF($C$3:$C$7, B14, $G$3:$G$7)</f>
        <v>21.5</v>
      </c>
    </row>
    <row r="15" spans="1:7" ht="15">
      <c r="B15" t="s">
        <v>12</v>
      </c>
      <c r="C15">
        <f t="shared" ref="C15:C16" si="2">SUMIF($C$3:$C$7, B15, $G$3:$G$7)</f>
        <v>47.25</v>
      </c>
    </row>
    <row r="16" spans="1:7" ht="15">
      <c r="B16" t="s">
        <v>15</v>
      </c>
      <c r="C16">
        <f t="shared" si="2"/>
        <v>21.5</v>
      </c>
    </row>
    <row r="17" spans="2:3" ht="15">
      <c r="B17" t="s">
        <v>24</v>
      </c>
      <c r="C17">
        <f>SUM(C14:C16)</f>
        <v>90.25</v>
      </c>
    </row>
    <row r="18" spans="2:3" ht="15"/>
  </sheetData>
  <mergeCells count="4">
    <mergeCell ref="A8:C8"/>
    <mergeCell ref="E8:F8"/>
    <mergeCell ref="B12:B13"/>
    <mergeCell ref="C12:C13"/>
  </mergeCells>
  <dataValidations count="1">
    <dataValidation type="list" allowBlank="1" showInputMessage="1" showErrorMessage="1" sqref="C3:C7 B14:B16" xr:uid="{2A66B323-0542-48F8-ABE4-3F22D8B3D958}">
      <formula1>"Tyler, Jacob, Michael"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713E-19C8-4266-8C3A-9E1C49F0CE6E}">
  <dimension ref="A1:G19"/>
  <sheetViews>
    <sheetView workbookViewId="0">
      <selection activeCell="C3" sqref="C3:C6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46088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46083</v>
      </c>
      <c r="C3" s="1" t="s">
        <v>12</v>
      </c>
      <c r="D3" s="6">
        <v>0</v>
      </c>
      <c r="E3" s="1"/>
      <c r="F3" s="9" cm="1">
        <f t="array" ref="F3">_xlfn.IFS(C3="Tyler",21.5,C3="Jacob",22.5,C3="Michael",21.5)</f>
        <v>22.5</v>
      </c>
      <c r="G3" s="14">
        <f>D3*F3</f>
        <v>0</v>
      </c>
    </row>
    <row r="4" spans="1:7" ht="15.75">
      <c r="A4" s="11" t="s">
        <v>11</v>
      </c>
      <c r="B4" s="11">
        <f>B3+1</f>
        <v>46084</v>
      </c>
      <c r="C4" s="1" t="s">
        <v>15</v>
      </c>
      <c r="D4" s="6">
        <v>0</v>
      </c>
      <c r="E4" s="1"/>
      <c r="F4" s="9" cm="1">
        <f t="array" ref="F4">_xlfn.IFS(C4="Tyler",21.5,C4="Jacob",22.5,C4="Michael",21.5)</f>
        <v>21.5</v>
      </c>
      <c r="G4" s="14">
        <f t="shared" ref="G4:G9" si="0">D4*F4</f>
        <v>0</v>
      </c>
    </row>
    <row r="5" spans="1:7" ht="15.75">
      <c r="A5" s="11" t="s">
        <v>14</v>
      </c>
      <c r="B5" s="11">
        <f>B4+1</f>
        <v>46085</v>
      </c>
      <c r="C5" s="1" t="s">
        <v>9</v>
      </c>
      <c r="D5" s="6">
        <v>0</v>
      </c>
      <c r="E5" s="1"/>
      <c r="F5" s="9" cm="1">
        <f t="array" ref="F5">_xlfn.IFS(C5="Tyler",21.5,C5="Jacob",22.5,C5="Michael",21.5)</f>
        <v>21.5</v>
      </c>
      <c r="G5" s="14">
        <f t="shared" si="0"/>
        <v>0</v>
      </c>
    </row>
    <row r="6" spans="1:7" ht="15.75">
      <c r="A6" s="11" t="s">
        <v>17</v>
      </c>
      <c r="B6" s="11">
        <f t="shared" ref="B6" si="1">B5+1</f>
        <v>46086</v>
      </c>
      <c r="C6" s="1" t="s">
        <v>12</v>
      </c>
      <c r="D6" s="6">
        <v>0</v>
      </c>
      <c r="E6" s="1"/>
      <c r="F6" s="9" cm="1">
        <f t="array" ref="F6">_xlfn.IFS(C6="Tyler",21.5,C6="Jacob",22.5,C6="Michael",21.5)</f>
        <v>22.5</v>
      </c>
      <c r="G6" s="14">
        <f t="shared" si="0"/>
        <v>0</v>
      </c>
    </row>
    <row r="7" spans="1:7" ht="15.75">
      <c r="A7" s="11" t="s">
        <v>25</v>
      </c>
      <c r="B7" s="11">
        <f>B9</f>
        <v>46087</v>
      </c>
      <c r="C7" s="1" t="s">
        <v>12</v>
      </c>
      <c r="D7" s="6">
        <v>0.5</v>
      </c>
      <c r="E7" s="1" t="s">
        <v>26</v>
      </c>
      <c r="F7" s="9" cm="1">
        <f t="array" ref="F7">_xlfn.IFS(C7="Tyler",21.5,C7="Jacob",22.5,C7="Michael",21.5)</f>
        <v>22.5</v>
      </c>
      <c r="G7" s="14">
        <f t="shared" si="0"/>
        <v>11.25</v>
      </c>
    </row>
    <row r="8" spans="1:7" ht="15.75">
      <c r="A8" s="11" t="s">
        <v>25</v>
      </c>
      <c r="B8" s="11">
        <f>B9</f>
        <v>46087</v>
      </c>
      <c r="C8" s="1" t="s">
        <v>9</v>
      </c>
      <c r="D8" s="6">
        <v>0.5</v>
      </c>
      <c r="E8" s="1" t="s">
        <v>26</v>
      </c>
      <c r="F8" s="9" cm="1">
        <f t="array" ref="F8">_xlfn.IFS(C8="Tyler",21.5,C8="Jacob",22.5,C8="Michael",21.5)</f>
        <v>21.5</v>
      </c>
      <c r="G8" s="14">
        <f t="shared" si="0"/>
        <v>10.75</v>
      </c>
    </row>
    <row r="9" spans="1:7" ht="15.75">
      <c r="A9" s="4" t="s">
        <v>19</v>
      </c>
      <c r="B9" s="11">
        <f>B6+1</f>
        <v>46087</v>
      </c>
      <c r="C9" s="1" t="s">
        <v>15</v>
      </c>
      <c r="D9" s="6">
        <v>0.5</v>
      </c>
      <c r="E9" s="1" t="s">
        <v>26</v>
      </c>
      <c r="F9" s="9" cm="1">
        <f t="array" ref="F9">_xlfn.IFS(C9="Tyler",21.5,C9="Jacob",22.5,C9="Michael",21.5)</f>
        <v>21.5</v>
      </c>
      <c r="G9" s="14">
        <f t="shared" si="0"/>
        <v>10.75</v>
      </c>
    </row>
    <row r="10" spans="1:7" ht="15.75">
      <c r="A10" s="17" t="s">
        <v>21</v>
      </c>
      <c r="B10" s="18"/>
      <c r="C10" s="19"/>
      <c r="D10" s="5">
        <f>SUM(D3:D9)</f>
        <v>1.5</v>
      </c>
      <c r="E10" s="20" t="s">
        <v>21</v>
      </c>
      <c r="F10" s="19"/>
      <c r="G10" s="15">
        <f>SUM(G3:G9)</f>
        <v>32.75</v>
      </c>
    </row>
    <row r="14" spans="1:7">
      <c r="B14" s="21" t="s">
        <v>22</v>
      </c>
      <c r="C14" s="22" t="s">
        <v>23</v>
      </c>
    </row>
    <row r="15" spans="1:7">
      <c r="B15" s="21"/>
      <c r="C15" s="22"/>
    </row>
    <row r="16" spans="1:7" ht="15.6" customHeight="1">
      <c r="B16" t="s">
        <v>9</v>
      </c>
      <c r="C16" s="16">
        <f>SUMIF($C$3:$C$9, B16, $G$3:$G$9)</f>
        <v>10.75</v>
      </c>
    </row>
    <row r="17" spans="2:3">
      <c r="B17" t="s">
        <v>12</v>
      </c>
      <c r="C17" s="16">
        <f>SUMIF($C$3:$C$9, B17, $G$3:$G$9)</f>
        <v>11.25</v>
      </c>
    </row>
    <row r="18" spans="2:3">
      <c r="B18" t="s">
        <v>15</v>
      </c>
      <c r="C18" s="16">
        <f>SUMIF($C$3:$C$9, B18, $G$3:$G$9)</f>
        <v>10.75</v>
      </c>
    </row>
    <row r="19" spans="2:3">
      <c r="B19" t="s">
        <v>24</v>
      </c>
      <c r="C19" s="16">
        <f>SUM(C16:C18)</f>
        <v>32.75</v>
      </c>
    </row>
  </sheetData>
  <mergeCells count="4">
    <mergeCell ref="A10:C10"/>
    <mergeCell ref="E10:F10"/>
    <mergeCell ref="B14:B15"/>
    <mergeCell ref="C14:C15"/>
  </mergeCells>
  <dataValidations count="1">
    <dataValidation type="list" allowBlank="1" showInputMessage="1" showErrorMessage="1" sqref="B16:B18 C3:C9" xr:uid="{1AC5D6D2-9C57-4C80-BBA4-086E52EB2ED7}">
      <formula1>"Tyler, Jacob, Michael"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F166-BCF5-4EE4-A872-DA83CBF203C8}">
  <dimension ref="A1:G18"/>
  <sheetViews>
    <sheetView workbookViewId="0">
      <selection activeCell="C8" sqref="C8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46095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46090</v>
      </c>
      <c r="C3" s="1" t="s">
        <v>12</v>
      </c>
      <c r="D3" s="6">
        <v>0</v>
      </c>
      <c r="E3" s="1"/>
      <c r="F3" s="9" cm="1">
        <f t="array" ref="F3">_xlfn.IFS(C3="Tyler",21.5,C3="Jacob",22.5,C3="Michael",21.5,C3="Bryce",21.5)</f>
        <v>22.5</v>
      </c>
      <c r="G3" s="14">
        <f>D3*F3</f>
        <v>0</v>
      </c>
    </row>
    <row r="4" spans="1:7" ht="15.75">
      <c r="A4" s="11" t="s">
        <v>11</v>
      </c>
      <c r="B4" s="11">
        <f>B3+1</f>
        <v>46091</v>
      </c>
      <c r="C4" s="1" t="s">
        <v>15</v>
      </c>
      <c r="D4" s="6">
        <v>0</v>
      </c>
      <c r="E4" s="1"/>
      <c r="F4" s="9" cm="1">
        <f t="array" ref="F4">_xlfn.IFS(C4="Tyler",21.5,C4="Jacob",22.5,C4="Michael",21.5)</f>
        <v>21.5</v>
      </c>
      <c r="G4" s="14">
        <f t="shared" ref="G4:G8" si="0">D4*F4</f>
        <v>0</v>
      </c>
    </row>
    <row r="5" spans="1:7" ht="15.75">
      <c r="A5" s="11" t="s">
        <v>14</v>
      </c>
      <c r="B5" s="11">
        <f>B4+1</f>
        <v>46092</v>
      </c>
      <c r="C5" s="1" t="s">
        <v>12</v>
      </c>
      <c r="D5" s="6">
        <v>1.5</v>
      </c>
      <c r="E5" s="1" t="s">
        <v>27</v>
      </c>
      <c r="F5" s="9" cm="1">
        <f t="array" ref="F5">_xlfn.IFS(C5="Tyler",21.5,C5="Jacob",22.5,C5="Michael",21.5)</f>
        <v>22.5</v>
      </c>
      <c r="G5" s="14">
        <f t="shared" si="0"/>
        <v>33.75</v>
      </c>
    </row>
    <row r="6" spans="1:7" ht="15.75">
      <c r="A6" s="11" t="s">
        <v>14</v>
      </c>
      <c r="B6" s="11">
        <f>B5</f>
        <v>46092</v>
      </c>
      <c r="C6" s="1" t="s">
        <v>9</v>
      </c>
      <c r="D6" s="6">
        <v>1.5</v>
      </c>
      <c r="E6" s="1" t="s">
        <v>27</v>
      </c>
      <c r="F6" s="9" cm="1">
        <f t="array" ref="F6">_xlfn.IFS(C6="Tyler",21.5,C6="Jacob",22.5,C6="Michael",21.5)</f>
        <v>21.5</v>
      </c>
      <c r="G6" s="14">
        <f t="shared" ref="G6" si="1">D6*F6</f>
        <v>32.25</v>
      </c>
    </row>
    <row r="7" spans="1:7" ht="15.75">
      <c r="A7" s="11" t="s">
        <v>17</v>
      </c>
      <c r="B7" s="11">
        <f t="shared" ref="B7" si="2">B5+1</f>
        <v>46093</v>
      </c>
      <c r="C7" s="1" t="s">
        <v>9</v>
      </c>
      <c r="D7" s="6">
        <v>0</v>
      </c>
      <c r="E7" s="1"/>
      <c r="F7" s="9" cm="1">
        <f t="array" ref="F7">_xlfn.IFS(C7="Tyler",21.5,C7="Jacob",22.5,C7="Michael",21.5)</f>
        <v>21.5</v>
      </c>
      <c r="G7" s="14">
        <f t="shared" si="0"/>
        <v>0</v>
      </c>
    </row>
    <row r="8" spans="1:7" ht="15.75">
      <c r="A8" s="4" t="s">
        <v>19</v>
      </c>
      <c r="B8" s="11">
        <f>B7+1</f>
        <v>46094</v>
      </c>
      <c r="C8" s="1" t="s">
        <v>15</v>
      </c>
      <c r="D8" s="6">
        <v>0</v>
      </c>
      <c r="E8" s="1"/>
      <c r="F8" s="9" cm="1">
        <f t="array" ref="F8">_xlfn.IFS(C8="Tyler",21.5,C8="Jacob",22.5,C8="Michael",21.5)</f>
        <v>21.5</v>
      </c>
      <c r="G8" s="14">
        <f t="shared" si="0"/>
        <v>0</v>
      </c>
    </row>
    <row r="9" spans="1:7" ht="15.75">
      <c r="A9" s="17" t="s">
        <v>21</v>
      </c>
      <c r="B9" s="18"/>
      <c r="C9" s="19"/>
      <c r="D9" s="5">
        <f>SUM(D3:D8)</f>
        <v>3</v>
      </c>
      <c r="E9" s="20" t="s">
        <v>21</v>
      </c>
      <c r="F9" s="19"/>
      <c r="G9" s="15">
        <f>SUM(G3:G8)</f>
        <v>66</v>
      </c>
    </row>
    <row r="13" spans="1:7">
      <c r="B13" s="21" t="s">
        <v>22</v>
      </c>
      <c r="C13" s="22" t="s">
        <v>23</v>
      </c>
    </row>
    <row r="14" spans="1:7">
      <c r="B14" s="21"/>
      <c r="C14" s="22"/>
    </row>
    <row r="15" spans="1:7" ht="15.6" customHeight="1">
      <c r="B15" t="s">
        <v>9</v>
      </c>
      <c r="C15" s="16">
        <f>SUMIF($C$3:$C$8, B15, $G$3:$G$8)</f>
        <v>32.25</v>
      </c>
    </row>
    <row r="16" spans="1:7">
      <c r="B16" t="s">
        <v>12</v>
      </c>
      <c r="C16" s="16">
        <f>SUMIF($C$3:$C$8, B16, $G$3:$G$8)</f>
        <v>33.75</v>
      </c>
    </row>
    <row r="17" spans="2:3">
      <c r="B17" t="s">
        <v>15</v>
      </c>
      <c r="C17" s="16">
        <f>SUMIF($C$3:$C$8, B17, $G$3:$G$8)</f>
        <v>0</v>
      </c>
    </row>
    <row r="18" spans="2:3">
      <c r="B18" t="s">
        <v>24</v>
      </c>
      <c r="C18" s="16">
        <f>SUM(C15:C17)</f>
        <v>66</v>
      </c>
    </row>
  </sheetData>
  <mergeCells count="4">
    <mergeCell ref="A9:C9"/>
    <mergeCell ref="E9:F9"/>
    <mergeCell ref="B13:B14"/>
    <mergeCell ref="C13:C14"/>
  </mergeCells>
  <dataValidations count="1">
    <dataValidation type="list" allowBlank="1" showInputMessage="1" showErrorMessage="1" sqref="B15:B17 C3:C8" xr:uid="{59C70D52-705E-4697-8CDB-12170D17D7BC}">
      <formula1>"Tyler, Jacob, Michael"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6AC3-AD2E-4B63-A4B8-7DE19B8673BA}">
  <dimension ref="A1:G19"/>
  <sheetViews>
    <sheetView workbookViewId="0">
      <selection activeCell="C17" sqref="C17:C19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46102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46097</v>
      </c>
      <c r="C3" s="1" t="s">
        <v>12</v>
      </c>
      <c r="D3" s="6">
        <v>0</v>
      </c>
      <c r="E3" s="1"/>
      <c r="F3" s="9" cm="1">
        <f t="array" ref="F3">_xlfn.IFS(C3="Tyler",21.5,C3="Jacob",22.5,C3="Michael",21.5,C3="Bryce",21.5)</f>
        <v>22.5</v>
      </c>
      <c r="G3" s="14">
        <f>D3*F3</f>
        <v>0</v>
      </c>
    </row>
    <row r="4" spans="1:7" ht="15.75">
      <c r="A4" s="11" t="s">
        <v>11</v>
      </c>
      <c r="B4" s="11">
        <f>B3+1</f>
        <v>46098</v>
      </c>
      <c r="C4" s="1" t="s">
        <v>15</v>
      </c>
      <c r="D4" s="6">
        <v>0</v>
      </c>
      <c r="E4" s="1"/>
      <c r="F4" s="9" cm="1">
        <f t="array" ref="F4">_xlfn.IFS(C4="Tyler",21.5,C4="Jacob",22.5,C4="Michael",21.5,C4="Bryce",21.5)</f>
        <v>21.5</v>
      </c>
      <c r="G4" s="14">
        <f t="shared" ref="G4:G8" si="0">D4*F4</f>
        <v>0</v>
      </c>
    </row>
    <row r="5" spans="1:7" ht="15.75">
      <c r="A5" s="11" t="s">
        <v>14</v>
      </c>
      <c r="B5" s="11">
        <f>B4+1</f>
        <v>46099</v>
      </c>
      <c r="C5" s="1" t="s">
        <v>9</v>
      </c>
      <c r="D5" s="6">
        <v>0</v>
      </c>
      <c r="E5" s="1"/>
      <c r="F5" s="9" cm="1">
        <f t="array" ref="F5">_xlfn.IFS(C5="Tyler",21.5,C5="Jacob",22.5,C5="Michael",21.5,C5="Bryce",21.5)</f>
        <v>21.5</v>
      </c>
      <c r="G5" s="14">
        <f t="shared" si="0"/>
        <v>0</v>
      </c>
    </row>
    <row r="6" spans="1:7" ht="15.75">
      <c r="A6" s="11" t="s">
        <v>14</v>
      </c>
      <c r="B6" s="11">
        <f>B5</f>
        <v>46099</v>
      </c>
      <c r="C6" s="1" t="s">
        <v>12</v>
      </c>
      <c r="D6" s="6">
        <v>0</v>
      </c>
      <c r="E6" s="1"/>
      <c r="F6" s="9" cm="1">
        <f t="array" ref="F6">_xlfn.IFS(C6="Tyler",21.5,C6="Jacob",22.5,C6="Michael",21.5,C6="Bryce",21.5)</f>
        <v>22.5</v>
      </c>
      <c r="G6" s="14">
        <f t="shared" si="0"/>
        <v>0</v>
      </c>
    </row>
    <row r="7" spans="1:7" ht="15.75">
      <c r="A7" s="11" t="s">
        <v>17</v>
      </c>
      <c r="B7" s="11">
        <f t="shared" ref="B7" si="1">B5+1</f>
        <v>46100</v>
      </c>
      <c r="C7" s="1" t="s">
        <v>15</v>
      </c>
      <c r="D7" s="6">
        <v>0</v>
      </c>
      <c r="E7" s="1"/>
      <c r="F7" s="9" cm="1">
        <f t="array" ref="F7">_xlfn.IFS(C7="Tyler",21.5,C7="Jacob",22.5,C7="Michael",21.5,C7="Bryce",21.5)</f>
        <v>21.5</v>
      </c>
      <c r="G7" s="14">
        <f t="shared" si="0"/>
        <v>0</v>
      </c>
    </row>
    <row r="8" spans="1:7" ht="15.75">
      <c r="A8" s="4" t="s">
        <v>19</v>
      </c>
      <c r="B8" s="11">
        <f>B7+1</f>
        <v>46101</v>
      </c>
      <c r="C8" s="1" t="s">
        <v>9</v>
      </c>
      <c r="D8" s="6">
        <v>0</v>
      </c>
      <c r="E8" s="1"/>
      <c r="F8" s="9" cm="1">
        <f t="array" ref="F8">_xlfn.IFS(C8="Tyler",21.5,C8="Jacob",22.5,C8="Michael",21.5,C8="Bryce",21.5)</f>
        <v>21.5</v>
      </c>
      <c r="G8" s="14">
        <f t="shared" si="0"/>
        <v>0</v>
      </c>
    </row>
    <row r="9" spans="1:7" ht="15.75">
      <c r="A9" s="17" t="s">
        <v>21</v>
      </c>
      <c r="B9" s="18"/>
      <c r="C9" s="19"/>
      <c r="D9" s="5">
        <f>SUM(D3:D8)</f>
        <v>0</v>
      </c>
      <c r="E9" s="20" t="s">
        <v>21</v>
      </c>
      <c r="F9" s="19"/>
      <c r="G9" s="15">
        <f>SUM(G3:G8)</f>
        <v>0</v>
      </c>
    </row>
    <row r="13" spans="1:7">
      <c r="B13" s="21" t="s">
        <v>22</v>
      </c>
      <c r="C13" s="22" t="s">
        <v>23</v>
      </c>
    </row>
    <row r="14" spans="1:7">
      <c r="B14" s="21"/>
      <c r="C14" s="22"/>
    </row>
    <row r="15" spans="1:7" ht="15.6" customHeight="1">
      <c r="B15" t="s">
        <v>9</v>
      </c>
      <c r="C15" s="16">
        <f>SUMIF($C$3:$C$8, B15, $G$3:$G$8)</f>
        <v>0</v>
      </c>
    </row>
    <row r="16" spans="1:7">
      <c r="B16" t="s">
        <v>12</v>
      </c>
      <c r="C16" s="16">
        <f>SUMIF($C$3:$C$8, B16, $G$3:$G$8)</f>
        <v>0</v>
      </c>
    </row>
    <row r="17" spans="2:3">
      <c r="B17" t="s">
        <v>15</v>
      </c>
      <c r="C17" s="16">
        <f t="shared" ref="C17:C19" si="2">SUMIF($C$3:$C$8, B17, $G$3:$G$8)</f>
        <v>0</v>
      </c>
    </row>
    <row r="18" spans="2:3">
      <c r="B18" t="s">
        <v>28</v>
      </c>
      <c r="C18" s="16">
        <f t="shared" si="2"/>
        <v>0</v>
      </c>
    </row>
    <row r="19" spans="2:3">
      <c r="B19" t="s">
        <v>24</v>
      </c>
      <c r="C19" s="16">
        <f t="shared" si="2"/>
        <v>0</v>
      </c>
    </row>
  </sheetData>
  <mergeCells count="4">
    <mergeCell ref="A9:C9"/>
    <mergeCell ref="E9:F9"/>
    <mergeCell ref="B13:B14"/>
    <mergeCell ref="C13:C14"/>
  </mergeCells>
  <dataValidations count="2">
    <dataValidation type="list" allowBlank="1" showInputMessage="1" showErrorMessage="1" sqref="B15:B17" xr:uid="{DB0A28C1-C0CB-40AA-BCD5-2D4CC4630D61}">
      <formula1>"Tyler, Jacob, Michael"</formula1>
    </dataValidation>
    <dataValidation type="list" allowBlank="1" showInputMessage="1" showErrorMessage="1" sqref="C3:C8" xr:uid="{2F58B49F-4FEF-4DB4-83CC-1C20091CCCF2}">
      <formula1>"Tyler, Jacob, Michael, Bryce"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0006-2F7C-41BA-9542-5308B613A0E7}">
  <dimension ref="A1:G19"/>
  <sheetViews>
    <sheetView workbookViewId="0">
      <selection activeCell="C17" sqref="C17:C18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46109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46104</v>
      </c>
      <c r="C3" s="1" t="s">
        <v>12</v>
      </c>
      <c r="D3" s="6">
        <v>0</v>
      </c>
      <c r="E3" s="1"/>
      <c r="F3" s="9" cm="1">
        <f t="array" ref="F3">_xlfn.IFS(C3="Tyler",21.5,C3="Jacob",22.5,C3="Michael",21.5,C3="Bryce",21.5)</f>
        <v>22.5</v>
      </c>
      <c r="G3" s="14">
        <f>D3*F3</f>
        <v>0</v>
      </c>
    </row>
    <row r="4" spans="1:7" ht="15.75">
      <c r="A4" s="11" t="s">
        <v>11</v>
      </c>
      <c r="B4" s="11">
        <f>B3+1</f>
        <v>46105</v>
      </c>
      <c r="C4" s="1" t="s">
        <v>15</v>
      </c>
      <c r="D4" s="6">
        <v>0</v>
      </c>
      <c r="E4" s="1"/>
      <c r="F4" s="9" cm="1">
        <f t="array" ref="F4">_xlfn.IFS(C4="Tyler",21.5,C4="Jacob",22.5,C4="Michael",21.5,C4="Bryce",21.5)</f>
        <v>21.5</v>
      </c>
      <c r="G4" s="14">
        <f t="shared" ref="G4:G8" si="0">D4*F4</f>
        <v>0</v>
      </c>
    </row>
    <row r="5" spans="1:7" ht="15.75">
      <c r="A5" s="11" t="s">
        <v>14</v>
      </c>
      <c r="B5" s="11">
        <f>B4+1</f>
        <v>46106</v>
      </c>
      <c r="C5" s="1" t="s">
        <v>9</v>
      </c>
      <c r="D5" s="6">
        <v>1</v>
      </c>
      <c r="E5" s="1" t="s">
        <v>29</v>
      </c>
      <c r="F5" s="9" cm="1">
        <f t="array" ref="F5">_xlfn.IFS(C5="Tyler",21.5,C5="Jacob",22.5,C5="Michael",21.5,C5="Bryce",21.5)</f>
        <v>21.5</v>
      </c>
      <c r="G5" s="14">
        <f t="shared" si="0"/>
        <v>21.5</v>
      </c>
    </row>
    <row r="6" spans="1:7" ht="15.75">
      <c r="A6" s="11" t="s">
        <v>14</v>
      </c>
      <c r="B6" s="11">
        <f>B5</f>
        <v>46106</v>
      </c>
      <c r="C6" s="1" t="s">
        <v>15</v>
      </c>
      <c r="D6" s="6">
        <v>1</v>
      </c>
      <c r="E6" s="1" t="s">
        <v>29</v>
      </c>
      <c r="F6" s="9" cm="1">
        <f t="array" ref="F6">_xlfn.IFS(C6="Tyler",21.5,C6="Jacob",22.5,C6="Michael",21.5,C6="Bryce",21.5)</f>
        <v>21.5</v>
      </c>
      <c r="G6" s="14">
        <f t="shared" si="0"/>
        <v>21.5</v>
      </c>
    </row>
    <row r="7" spans="1:7" ht="15.75">
      <c r="A7" s="11" t="s">
        <v>17</v>
      </c>
      <c r="B7" s="11">
        <f t="shared" ref="B7" si="1">B5+1</f>
        <v>46107</v>
      </c>
      <c r="C7" s="1" t="s">
        <v>12</v>
      </c>
      <c r="D7" s="6">
        <v>1</v>
      </c>
      <c r="E7" s="1" t="s">
        <v>29</v>
      </c>
      <c r="F7" s="9" cm="1">
        <f t="array" ref="F7">_xlfn.IFS(C7="Tyler",21.5,C7="Jacob",22.5,C7="Michael",21.5,C7="Bryce",21.5)</f>
        <v>22.5</v>
      </c>
      <c r="G7" s="14">
        <f t="shared" si="0"/>
        <v>22.5</v>
      </c>
    </row>
    <row r="8" spans="1:7" ht="15.75">
      <c r="A8" s="4" t="s">
        <v>19</v>
      </c>
      <c r="B8" s="11">
        <f>B7+1</f>
        <v>46108</v>
      </c>
      <c r="C8" s="1" t="s">
        <v>12</v>
      </c>
      <c r="D8" s="6">
        <v>1.5</v>
      </c>
      <c r="E8" s="1" t="s">
        <v>30</v>
      </c>
      <c r="F8" s="9" cm="1">
        <f t="array" ref="F8">_xlfn.IFS(C8="Tyler",21.5,C8="Jacob",22.5,C8="Michael",21.5,C8="Bryce",21.5)</f>
        <v>22.5</v>
      </c>
      <c r="G8" s="14">
        <f t="shared" si="0"/>
        <v>33.75</v>
      </c>
    </row>
    <row r="9" spans="1:7" ht="15.75">
      <c r="A9" s="17" t="s">
        <v>21</v>
      </c>
      <c r="B9" s="18"/>
      <c r="C9" s="19"/>
      <c r="D9" s="5">
        <f>SUM(D3:D8)</f>
        <v>4.5</v>
      </c>
      <c r="E9" s="20" t="s">
        <v>21</v>
      </c>
      <c r="F9" s="19"/>
      <c r="G9" s="15">
        <f>SUM(G3:G8)</f>
        <v>99.25</v>
      </c>
    </row>
    <row r="13" spans="1:7">
      <c r="B13" s="21" t="s">
        <v>22</v>
      </c>
      <c r="C13" s="22" t="s">
        <v>23</v>
      </c>
    </row>
    <row r="14" spans="1:7">
      <c r="B14" s="21"/>
      <c r="C14" s="22"/>
    </row>
    <row r="15" spans="1:7" ht="15.6" customHeight="1">
      <c r="B15" t="s">
        <v>9</v>
      </c>
      <c r="C15" s="16">
        <f>SUMIF($C$3:$C$8, B15, $G$3:$G$8)</f>
        <v>21.5</v>
      </c>
    </row>
    <row r="16" spans="1:7">
      <c r="B16" t="s">
        <v>12</v>
      </c>
      <c r="C16" s="16">
        <f>SUMIF($C$3:$C$8, B16, $G$3:$G$8)</f>
        <v>56.25</v>
      </c>
    </row>
    <row r="17" spans="2:3">
      <c r="B17" t="s">
        <v>15</v>
      </c>
      <c r="C17" s="16">
        <f t="shared" ref="C17:C18" si="2">SUMIF($C$3:$C$8, B17, $G$3:$G$8)</f>
        <v>21.5</v>
      </c>
    </row>
    <row r="18" spans="2:3">
      <c r="B18" t="s">
        <v>28</v>
      </c>
      <c r="C18" s="16">
        <f t="shared" si="2"/>
        <v>0</v>
      </c>
    </row>
    <row r="19" spans="2:3">
      <c r="B19" t="s">
        <v>24</v>
      </c>
      <c r="C19" s="16">
        <f>SUM(C15:C17)</f>
        <v>99.25</v>
      </c>
    </row>
  </sheetData>
  <mergeCells count="4">
    <mergeCell ref="A9:C9"/>
    <mergeCell ref="E9:F9"/>
    <mergeCell ref="B13:B14"/>
    <mergeCell ref="C13:C14"/>
  </mergeCells>
  <dataValidations count="2">
    <dataValidation type="list" allowBlank="1" showInputMessage="1" showErrorMessage="1" sqref="C3:C8" xr:uid="{C13BB113-9BD4-40E7-A3A8-F1F3A5F32B70}">
      <formula1>"Tyler, Jacob, Michael, Bryce"</formula1>
    </dataValidation>
    <dataValidation type="list" allowBlank="1" showInputMessage="1" showErrorMessage="1" sqref="B15:B17" xr:uid="{15BF117C-33A9-4974-9D22-9CBB183EBE7C}">
      <formula1>"Tyler, Jacob, Michael"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D0FD-86CD-4249-A0F5-FE3B3AD13FA1}">
  <dimension ref="A1:G19"/>
  <sheetViews>
    <sheetView workbookViewId="0">
      <selection activeCell="C18" sqref="C18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46116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46111</v>
      </c>
      <c r="C3" s="1" t="s">
        <v>15</v>
      </c>
      <c r="D3" s="6">
        <v>0</v>
      </c>
      <c r="E3" s="1"/>
      <c r="F3" s="9" cm="1">
        <f t="array" ref="F3">_xlfn.IFS(C3="Tyler",21.5,C3="Jacob",22.5,C3="Michael",21.5,C3="Bryce",21.5)</f>
        <v>21.5</v>
      </c>
      <c r="G3" s="14">
        <f>D3*F3</f>
        <v>0</v>
      </c>
    </row>
    <row r="4" spans="1:7" ht="15.75">
      <c r="A4" s="11" t="s">
        <v>11</v>
      </c>
      <c r="B4" s="11">
        <f>B3+1</f>
        <v>46112</v>
      </c>
      <c r="C4" s="1" t="s">
        <v>9</v>
      </c>
      <c r="D4" s="6">
        <v>0</v>
      </c>
      <c r="E4" s="1"/>
      <c r="F4" s="9" cm="1">
        <f t="array" ref="F4">_xlfn.IFS(C4="Tyler",21.5,C4="Jacob",22.5,C4="Michael",21.5,C4="Bryce",21.5)</f>
        <v>21.5</v>
      </c>
      <c r="G4" s="14">
        <f t="shared" ref="G4:G8" si="0">D4*F4</f>
        <v>0</v>
      </c>
    </row>
    <row r="5" spans="1:7" ht="15.75">
      <c r="A5" s="11" t="s">
        <v>14</v>
      </c>
      <c r="B5" s="11">
        <f>B4+1</f>
        <v>46113</v>
      </c>
      <c r="C5" s="1" t="s">
        <v>12</v>
      </c>
      <c r="D5" s="6">
        <v>1.5</v>
      </c>
      <c r="E5" s="1" t="s">
        <v>31</v>
      </c>
      <c r="F5" s="9" cm="1">
        <f t="array" ref="F5">_xlfn.IFS(C5="Tyler",21.5,C5="Jacob",22.5,C5="Michael",21.5,C5="Bryce",21.5)</f>
        <v>22.5</v>
      </c>
      <c r="G5" s="14">
        <f t="shared" si="0"/>
        <v>33.75</v>
      </c>
    </row>
    <row r="6" spans="1:7" ht="15.75">
      <c r="A6" s="11" t="s">
        <v>14</v>
      </c>
      <c r="B6" s="11">
        <f>B5</f>
        <v>46113</v>
      </c>
      <c r="C6" s="1" t="s">
        <v>9</v>
      </c>
      <c r="D6" s="6">
        <v>1.5</v>
      </c>
      <c r="E6" s="1" t="s">
        <v>31</v>
      </c>
      <c r="F6" s="9" cm="1">
        <f t="array" ref="F6">_xlfn.IFS(C6="Tyler",21.5,C6="Jacob",22.5,C6="Michael",21.5,C6="Bryce",21.5)</f>
        <v>21.5</v>
      </c>
      <c r="G6" s="14">
        <f t="shared" si="0"/>
        <v>32.25</v>
      </c>
    </row>
    <row r="7" spans="1:7" ht="15.75">
      <c r="A7" s="11" t="s">
        <v>17</v>
      </c>
      <c r="B7" s="11">
        <f t="shared" ref="B7" si="1">B5+1</f>
        <v>46114</v>
      </c>
      <c r="C7" s="1" t="s">
        <v>15</v>
      </c>
      <c r="D7" s="6">
        <v>0.8</v>
      </c>
      <c r="E7" s="1" t="s">
        <v>32</v>
      </c>
      <c r="F7" s="9" cm="1">
        <f t="array" ref="F7">_xlfn.IFS(C7="Tyler",21.5,C7="Jacob",22.5,C7="Michael",21.5,C7="Bryce",21.5)</f>
        <v>21.5</v>
      </c>
      <c r="G7" s="14">
        <f t="shared" si="0"/>
        <v>17.2</v>
      </c>
    </row>
    <row r="8" spans="1:7" ht="15.75">
      <c r="A8" s="4" t="s">
        <v>19</v>
      </c>
      <c r="B8" s="11">
        <f>B7+1</f>
        <v>46115</v>
      </c>
      <c r="C8" s="1" t="s">
        <v>9</v>
      </c>
      <c r="D8" s="6">
        <v>0</v>
      </c>
      <c r="E8" s="1"/>
      <c r="F8" s="9" cm="1">
        <f t="array" ref="F8">_xlfn.IFS(C8="Tyler",21.5,C8="Jacob",22.5,C8="Michael",21.5,C8="Bryce",21.5)</f>
        <v>21.5</v>
      </c>
      <c r="G8" s="14">
        <f t="shared" si="0"/>
        <v>0</v>
      </c>
    </row>
    <row r="9" spans="1:7" ht="15.75">
      <c r="A9" s="17" t="s">
        <v>21</v>
      </c>
      <c r="B9" s="18"/>
      <c r="C9" s="19"/>
      <c r="D9" s="5">
        <f>SUM(D3:D8)</f>
        <v>3.8</v>
      </c>
      <c r="E9" s="20" t="s">
        <v>21</v>
      </c>
      <c r="F9" s="19"/>
      <c r="G9" s="15">
        <f>SUM(G3:G8)</f>
        <v>83.2</v>
      </c>
    </row>
    <row r="13" spans="1:7">
      <c r="B13" s="21" t="s">
        <v>22</v>
      </c>
      <c r="C13" s="22" t="s">
        <v>23</v>
      </c>
    </row>
    <row r="14" spans="1:7">
      <c r="B14" s="21"/>
      <c r="C14" s="22"/>
    </row>
    <row r="15" spans="1:7" ht="15.6" customHeight="1">
      <c r="B15" t="s">
        <v>9</v>
      </c>
      <c r="C15" s="16">
        <f>SUMIF($C$3:$C$8, B15, $G$3:$G$8)</f>
        <v>32.25</v>
      </c>
    </row>
    <row r="16" spans="1:7">
      <c r="B16" t="s">
        <v>12</v>
      </c>
      <c r="C16" s="16">
        <f>SUMIF($C$3:$C$8, B16, $G$3:$G$8)</f>
        <v>33.75</v>
      </c>
    </row>
    <row r="17" spans="2:3">
      <c r="B17" t="s">
        <v>15</v>
      </c>
      <c r="C17" s="16">
        <f t="shared" ref="C17:C18" si="2">SUMIF($C$3:$C$8, B17, $G$3:$G$8)</f>
        <v>17.2</v>
      </c>
    </row>
    <row r="18" spans="2:3">
      <c r="B18" t="s">
        <v>28</v>
      </c>
      <c r="C18" s="16">
        <f t="shared" si="2"/>
        <v>0</v>
      </c>
    </row>
    <row r="19" spans="2:3">
      <c r="B19" t="s">
        <v>24</v>
      </c>
      <c r="C19" s="16">
        <f>SUM(C15:C17)</f>
        <v>83.2</v>
      </c>
    </row>
  </sheetData>
  <mergeCells count="4">
    <mergeCell ref="A9:C9"/>
    <mergeCell ref="E9:F9"/>
    <mergeCell ref="B13:B14"/>
    <mergeCell ref="C13:C14"/>
  </mergeCells>
  <dataValidations count="2">
    <dataValidation type="list" allowBlank="1" showInputMessage="1" showErrorMessage="1" sqref="B15:B17" xr:uid="{666490CF-0E1C-4A22-8896-07AAA43071CC}">
      <formula1>"Tyler, Jacob, Michael"</formula1>
    </dataValidation>
    <dataValidation type="list" allowBlank="1" showInputMessage="1" showErrorMessage="1" sqref="C3:C8" xr:uid="{B8B11954-FBB0-4B03-95CB-FF1BB4D9A182}">
      <formula1>"Tyler, Jacob, Michael, Bryce"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2755-2CE6-4B42-BCA3-66235DDEE29C}">
  <dimension ref="A1:G20"/>
  <sheetViews>
    <sheetView workbookViewId="0">
      <selection activeCell="F3" sqref="F3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46123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46118</v>
      </c>
      <c r="C3" s="1" t="s">
        <v>9</v>
      </c>
      <c r="D3" s="6">
        <v>0</v>
      </c>
      <c r="E3" s="1"/>
      <c r="F3" s="9" cm="1">
        <f t="array" ref="F3">_xlfn.IFS(C3="Tyler",21.5,C3="Jacob",22.5,C3="Michael",21.5,C3="Bryce",21.5)</f>
        <v>21.5</v>
      </c>
      <c r="G3" s="14">
        <f>D3*F3</f>
        <v>0</v>
      </c>
    </row>
    <row r="4" spans="1:7" ht="15.75">
      <c r="A4" s="11" t="s">
        <v>11</v>
      </c>
      <c r="B4" s="11">
        <f>B3+1</f>
        <v>46119</v>
      </c>
      <c r="C4" s="1" t="s">
        <v>12</v>
      </c>
      <c r="D4" s="6">
        <v>0</v>
      </c>
      <c r="E4" s="1"/>
      <c r="F4" s="9" cm="1">
        <f t="array" ref="F4">_xlfn.IFS(C4="Tyler",21.5,C4="Jacob",22.5,C4="Michael",21.5,C4="Bryce",21.5)</f>
        <v>22.5</v>
      </c>
      <c r="G4" s="14">
        <f t="shared" ref="G4:G9" si="0">D4*F4</f>
        <v>0</v>
      </c>
    </row>
    <row r="5" spans="1:7" ht="15.75">
      <c r="A5" s="11" t="s">
        <v>14</v>
      </c>
      <c r="B5" s="11">
        <f>B4+1</f>
        <v>46120</v>
      </c>
      <c r="C5" s="1" t="s">
        <v>15</v>
      </c>
      <c r="D5" s="6">
        <v>0</v>
      </c>
      <c r="E5" s="1"/>
      <c r="F5" s="9" cm="1">
        <f t="array" ref="F5">_xlfn.IFS(C5="Tyler",21.5,C5="Jacob",22.5,C5="Michael",21.5,C5="Bryce",21.5)</f>
        <v>21.5</v>
      </c>
      <c r="G5" s="14">
        <f t="shared" si="0"/>
        <v>0</v>
      </c>
    </row>
    <row r="6" spans="1:7" ht="15.75">
      <c r="A6" s="11" t="s">
        <v>17</v>
      </c>
      <c r="B6" s="11">
        <f>B5+1</f>
        <v>46121</v>
      </c>
      <c r="C6" s="1" t="s">
        <v>9</v>
      </c>
      <c r="D6" s="6">
        <v>0</v>
      </c>
      <c r="E6" s="1"/>
      <c r="F6" s="9" cm="1">
        <f t="array" ref="F6">_xlfn.IFS(C6="Tyler",21.5,C6="Jacob",22.5,C6="Michael",21.5,C6="Bryce",21.5)</f>
        <v>21.5</v>
      </c>
      <c r="G6" s="14">
        <f t="shared" ref="G6" si="1">D6*F6</f>
        <v>0</v>
      </c>
    </row>
    <row r="7" spans="1:7" ht="15.75">
      <c r="A7" s="11" t="s">
        <v>25</v>
      </c>
      <c r="B7" s="11">
        <v>46122</v>
      </c>
      <c r="C7" s="1" t="s">
        <v>9</v>
      </c>
      <c r="D7" s="6">
        <v>0.7</v>
      </c>
      <c r="E7" s="1" t="s">
        <v>33</v>
      </c>
      <c r="F7" s="9" cm="1">
        <f t="array" ref="F7">_xlfn.IFS(C7="Tyler",21.5,C7="Jacob",22.5,C7="Michael",21.5,C7="Bryce",21.5)</f>
        <v>21.5</v>
      </c>
      <c r="G7" s="14">
        <f t="shared" si="0"/>
        <v>15.049999999999999</v>
      </c>
    </row>
    <row r="8" spans="1:7" ht="15.75">
      <c r="A8" s="11" t="s">
        <v>25</v>
      </c>
      <c r="B8" s="11">
        <v>46122</v>
      </c>
      <c r="C8" s="1" t="s">
        <v>12</v>
      </c>
      <c r="D8" s="6">
        <v>0.7</v>
      </c>
      <c r="E8" s="1" t="s">
        <v>33</v>
      </c>
      <c r="F8" s="9" cm="1">
        <f t="array" ref="F8">_xlfn.IFS(C8="Tyler",21.5,C8="Jacob",22.5,C8="Michael",21.5,C8="Bryce",21.5)</f>
        <v>22.5</v>
      </c>
      <c r="G8" s="14">
        <f t="shared" si="0"/>
        <v>15.749999999999998</v>
      </c>
    </row>
    <row r="9" spans="1:7" ht="15.75">
      <c r="A9" s="4" t="s">
        <v>19</v>
      </c>
      <c r="B9" s="11">
        <v>46122</v>
      </c>
      <c r="C9" s="1" t="s">
        <v>15</v>
      </c>
      <c r="D9" s="6">
        <v>0.7</v>
      </c>
      <c r="E9" s="1" t="s">
        <v>33</v>
      </c>
      <c r="F9" s="9" cm="1">
        <f t="array" ref="F9">_xlfn.IFS(C9="Tyler",21.5,C9="Jacob",22.5,C9="Michael",21.5,C9="Bryce",21.5)</f>
        <v>21.5</v>
      </c>
      <c r="G9" s="14">
        <f t="shared" si="0"/>
        <v>15.049999999999999</v>
      </c>
    </row>
    <row r="10" spans="1:7" ht="15.75">
      <c r="A10" s="17" t="s">
        <v>21</v>
      </c>
      <c r="B10" s="18"/>
      <c r="C10" s="19"/>
      <c r="D10" s="5">
        <f>SUM(D3:D9)</f>
        <v>2.0999999999999996</v>
      </c>
      <c r="E10" s="20" t="s">
        <v>21</v>
      </c>
      <c r="F10" s="19"/>
      <c r="G10" s="15">
        <f>SUM(G3:G9)</f>
        <v>45.849999999999994</v>
      </c>
    </row>
    <row r="14" spans="1:7">
      <c r="B14" s="21" t="s">
        <v>22</v>
      </c>
      <c r="C14" s="22" t="s">
        <v>23</v>
      </c>
    </row>
    <row r="15" spans="1:7">
      <c r="B15" s="21"/>
      <c r="C15" s="22"/>
    </row>
    <row r="16" spans="1:7" ht="15.6" customHeight="1">
      <c r="B16" t="s">
        <v>9</v>
      </c>
      <c r="C16" s="16">
        <f>SUMIF($C$3:$C$9, B16, $G$3:$G$9)</f>
        <v>15.049999999999999</v>
      </c>
    </row>
    <row r="17" spans="2:3">
      <c r="B17" t="s">
        <v>12</v>
      </c>
      <c r="C17" s="16">
        <f>SUMIF($C$3:$C$9, B17, $G$3:$G$9)</f>
        <v>15.749999999999998</v>
      </c>
    </row>
    <row r="18" spans="2:3">
      <c r="B18" t="s">
        <v>15</v>
      </c>
      <c r="C18" s="16">
        <f t="shared" ref="C18:C19" si="2">SUMIF($C$3:$C$9, B18, $G$3:$G$9)</f>
        <v>15.049999999999999</v>
      </c>
    </row>
    <row r="19" spans="2:3">
      <c r="B19" t="s">
        <v>28</v>
      </c>
      <c r="C19" s="16">
        <f t="shared" si="2"/>
        <v>0</v>
      </c>
    </row>
    <row r="20" spans="2:3">
      <c r="B20" t="s">
        <v>24</v>
      </c>
      <c r="C20" s="16">
        <f>SUM(C16:C18)</f>
        <v>45.849999999999994</v>
      </c>
    </row>
  </sheetData>
  <mergeCells count="4">
    <mergeCell ref="A10:C10"/>
    <mergeCell ref="E10:F10"/>
    <mergeCell ref="B14:B15"/>
    <mergeCell ref="C14:C15"/>
  </mergeCells>
  <dataValidations count="2">
    <dataValidation type="list" allowBlank="1" showInputMessage="1" showErrorMessage="1" sqref="C3:C9" xr:uid="{566B1A25-090E-4CF0-BA1C-8BDF525BF5BC}">
      <formula1>"Tyler, Jacob, Michael, Bryce"</formula1>
    </dataValidation>
    <dataValidation type="list" allowBlank="1" showInputMessage="1" showErrorMessage="1" sqref="B16:B18" xr:uid="{1A06DA21-3FF7-4693-B05B-4DD40EACDF93}">
      <formula1>"Tyler, Jacob, Michael"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FB7B-AD13-4A22-A585-666C9C941BD3}">
  <dimension ref="A1:G19"/>
  <sheetViews>
    <sheetView workbookViewId="0">
      <selection activeCell="C3" sqref="C3:C8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46130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46125</v>
      </c>
      <c r="C3" s="1" t="s">
        <v>9</v>
      </c>
      <c r="D3" s="6">
        <v>0</v>
      </c>
      <c r="E3" s="1"/>
      <c r="F3" s="9" cm="1">
        <f t="array" ref="F3">_xlfn.IFS(C3="Tyler",21.5,C3="Jacob",22.5,C3="Michael",21.5,C3="Bryce",21.5)</f>
        <v>21.5</v>
      </c>
      <c r="G3" s="14">
        <f>D3*F3</f>
        <v>0</v>
      </c>
    </row>
    <row r="4" spans="1:7" ht="15.75">
      <c r="A4" s="11" t="s">
        <v>11</v>
      </c>
      <c r="B4" s="11">
        <f>B3+1</f>
        <v>46126</v>
      </c>
      <c r="C4" s="1" t="s">
        <v>15</v>
      </c>
      <c r="D4" s="6">
        <v>0</v>
      </c>
      <c r="E4" s="1"/>
      <c r="F4" s="9" cm="1">
        <f t="array" ref="F4">_xlfn.IFS(C4="Tyler",21.5,C4="Jacob",22.5,C4="Michael",21.5,C4="Bryce",21.5)</f>
        <v>21.5</v>
      </c>
      <c r="G4" s="14">
        <f t="shared" ref="G4:G8" si="0">D4*F4</f>
        <v>0</v>
      </c>
    </row>
    <row r="5" spans="1:7" ht="15.75">
      <c r="A5" s="11" t="s">
        <v>14</v>
      </c>
      <c r="B5" s="11">
        <f>B4+1</f>
        <v>46127</v>
      </c>
      <c r="C5" s="1" t="s">
        <v>28</v>
      </c>
      <c r="D5" s="6">
        <v>2</v>
      </c>
      <c r="E5" s="1" t="s">
        <v>34</v>
      </c>
      <c r="F5" s="9" cm="1">
        <f t="array" ref="F5">_xlfn.IFS(C5="Tyler",21.5,C5="Jacob",22.5,C5="Michael",21.5,C5="Bryce",21.5)</f>
        <v>21.5</v>
      </c>
      <c r="G5" s="14">
        <f t="shared" si="0"/>
        <v>43</v>
      </c>
    </row>
    <row r="6" spans="1:7" ht="15.75">
      <c r="A6" s="11" t="s">
        <v>14</v>
      </c>
      <c r="B6" s="11">
        <f>B5</f>
        <v>46127</v>
      </c>
      <c r="C6" s="1" t="s">
        <v>28</v>
      </c>
      <c r="D6" s="6">
        <v>0</v>
      </c>
      <c r="E6" s="1"/>
      <c r="F6" s="9" cm="1">
        <f t="array" ref="F6">_xlfn.IFS(C6="Tyler",21.5,C6="Jacob",22.5,C6="Michael",21.5,C6="Bryce",21.5)</f>
        <v>21.5</v>
      </c>
      <c r="G6" s="14">
        <f t="shared" si="0"/>
        <v>0</v>
      </c>
    </row>
    <row r="7" spans="1:7" ht="15.75">
      <c r="A7" s="11" t="s">
        <v>17</v>
      </c>
      <c r="B7" s="11">
        <f t="shared" ref="B7" si="1">B5+1</f>
        <v>46128</v>
      </c>
      <c r="C7" s="1" t="s">
        <v>12</v>
      </c>
      <c r="D7" s="6">
        <v>0.5</v>
      </c>
      <c r="E7" s="1" t="s">
        <v>35</v>
      </c>
      <c r="F7" s="9" cm="1">
        <f t="array" ref="F7">_xlfn.IFS(C7="Tyler",21.5,C7="Jacob",22.5,C7="Michael",21.5,C7="Bryce",21.5)</f>
        <v>22.5</v>
      </c>
      <c r="G7" s="14">
        <f t="shared" si="0"/>
        <v>11.25</v>
      </c>
    </row>
    <row r="8" spans="1:7" ht="15.75">
      <c r="A8" s="4" t="s">
        <v>19</v>
      </c>
      <c r="B8" s="11">
        <f>B7+1</f>
        <v>46129</v>
      </c>
      <c r="C8" s="1" t="s">
        <v>9</v>
      </c>
      <c r="D8" s="6">
        <v>0</v>
      </c>
      <c r="E8" s="1"/>
      <c r="F8" s="9" cm="1">
        <f t="array" ref="F8">_xlfn.IFS(C8="Tyler",21.5,C8="Jacob",22.5,C8="Michael",21.5,C8="Bryce",21.5)</f>
        <v>21.5</v>
      </c>
      <c r="G8" s="14">
        <f t="shared" si="0"/>
        <v>0</v>
      </c>
    </row>
    <row r="9" spans="1:7" ht="15.75">
      <c r="A9" s="17" t="s">
        <v>21</v>
      </c>
      <c r="B9" s="18"/>
      <c r="C9" s="19"/>
      <c r="D9" s="5">
        <f>SUM(D3:D8)</f>
        <v>2.5</v>
      </c>
      <c r="E9" s="20" t="s">
        <v>21</v>
      </c>
      <c r="F9" s="19"/>
      <c r="G9" s="15">
        <f>SUM(G3:G8)</f>
        <v>54.25</v>
      </c>
    </row>
    <row r="13" spans="1:7">
      <c r="B13" s="21" t="s">
        <v>22</v>
      </c>
      <c r="C13" s="22" t="s">
        <v>23</v>
      </c>
    </row>
    <row r="14" spans="1:7">
      <c r="B14" s="21"/>
      <c r="C14" s="22"/>
    </row>
    <row r="15" spans="1:7" ht="15.6" customHeight="1">
      <c r="B15" t="s">
        <v>9</v>
      </c>
      <c r="C15" s="16">
        <f>SUMIF($C$3:$C$8, B15, $G$3:$G$8)</f>
        <v>0</v>
      </c>
    </row>
    <row r="16" spans="1:7">
      <c r="B16" t="s">
        <v>12</v>
      </c>
      <c r="C16" s="16">
        <f>SUMIF($C$3:$C$8, B16, $G$3:$G$8)</f>
        <v>11.25</v>
      </c>
    </row>
    <row r="17" spans="2:3">
      <c r="B17" t="s">
        <v>15</v>
      </c>
      <c r="C17" s="16">
        <f t="shared" ref="C17:C18" si="2">SUMIF($C$3:$C$8, B17, $G$3:$G$8)</f>
        <v>0</v>
      </c>
    </row>
    <row r="18" spans="2:3">
      <c r="B18" t="s">
        <v>28</v>
      </c>
      <c r="C18" s="16">
        <f t="shared" si="2"/>
        <v>43</v>
      </c>
    </row>
    <row r="19" spans="2:3">
      <c r="B19" t="s">
        <v>24</v>
      </c>
      <c r="C19" s="16">
        <f>SUM(C15:C17)</f>
        <v>11.25</v>
      </c>
    </row>
  </sheetData>
  <mergeCells count="4">
    <mergeCell ref="A9:C9"/>
    <mergeCell ref="E9:F9"/>
    <mergeCell ref="B13:B14"/>
    <mergeCell ref="C13:C14"/>
  </mergeCells>
  <dataValidations count="2">
    <dataValidation type="list" allowBlank="1" showInputMessage="1" showErrorMessage="1" sqref="C3:C8" xr:uid="{1C0938A0-86B2-4CCD-838D-BD93B1D00D32}">
      <formula1>"Tyler, Jacob, Michael, Bryce"</formula1>
    </dataValidation>
    <dataValidation type="list" allowBlank="1" showInputMessage="1" showErrorMessage="1" sqref="B15:B17" xr:uid="{0E9C8AD8-A905-496C-B583-3E11453F0799}">
      <formula1>"Tyler, Jacob, Michael"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8ACD-F44F-4BD2-B78B-23AFC367CCE3}">
  <dimension ref="A1:G22"/>
  <sheetViews>
    <sheetView workbookViewId="0">
      <selection activeCell="E18" sqref="E18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46137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46132</v>
      </c>
      <c r="C3" s="1" t="s">
        <v>12</v>
      </c>
      <c r="D3" s="6">
        <v>0</v>
      </c>
      <c r="E3" s="1"/>
      <c r="F3" s="9" cm="1">
        <f t="array" ref="F3">_xlfn.IFS(C3="Tyler",21.5,C3="Jacob",22.5,C3="Michael",21.5,C3="Bryce",21.5)</f>
        <v>22.5</v>
      </c>
      <c r="G3" s="14">
        <f>D3*F3</f>
        <v>0</v>
      </c>
    </row>
    <row r="4" spans="1:7" ht="15.75">
      <c r="A4" s="11" t="s">
        <v>11</v>
      </c>
      <c r="B4" s="11">
        <f>B3+1</f>
        <v>46133</v>
      </c>
      <c r="C4" s="1" t="s">
        <v>9</v>
      </c>
      <c r="D4" s="6">
        <v>0</v>
      </c>
      <c r="E4" s="1"/>
      <c r="F4" s="9" cm="1">
        <f t="array" ref="F4">_xlfn.IFS(C4="Tyler",21.5,C4="Jacob",22.5,C4="Michael",21.5,C4="Bryce",21.5)</f>
        <v>21.5</v>
      </c>
      <c r="G4" s="14">
        <f t="shared" ref="G4:G8" si="0">D4*F4</f>
        <v>0</v>
      </c>
    </row>
    <row r="5" spans="1:7" ht="15.75">
      <c r="A5" s="11" t="s">
        <v>14</v>
      </c>
      <c r="B5" s="11">
        <f>B4+1</f>
        <v>46134</v>
      </c>
      <c r="C5" s="1" t="s">
        <v>28</v>
      </c>
      <c r="D5" s="6">
        <v>0</v>
      </c>
      <c r="E5" s="1"/>
      <c r="F5" s="9" cm="1">
        <f t="array" ref="F5">_xlfn.IFS(C5="Tyler",21.5,C5="Jacob",22.5,C5="Michael",21.5,C5="Bryce",21.5)</f>
        <v>21.5</v>
      </c>
      <c r="G5" s="14">
        <f t="shared" si="0"/>
        <v>0</v>
      </c>
    </row>
    <row r="6" spans="1:7" ht="15.75">
      <c r="A6" s="11" t="s">
        <v>14</v>
      </c>
      <c r="B6" s="11">
        <f>B5</f>
        <v>46134</v>
      </c>
      <c r="C6" s="1" t="s">
        <v>15</v>
      </c>
      <c r="D6" s="6">
        <v>0</v>
      </c>
      <c r="E6" s="1"/>
      <c r="F6" s="9" cm="1">
        <f t="array" ref="F6">_xlfn.IFS(C6="Tyler",21.5,C6="Jacob",22.5,C6="Michael",21.5,C6="Bryce",21.5)</f>
        <v>21.5</v>
      </c>
      <c r="G6" s="14">
        <f t="shared" si="0"/>
        <v>0</v>
      </c>
    </row>
    <row r="7" spans="1:7" ht="15.75">
      <c r="A7" s="11" t="s">
        <v>17</v>
      </c>
      <c r="B7" s="11">
        <f t="shared" ref="B7" si="1">B5+1</f>
        <v>46135</v>
      </c>
      <c r="C7" s="1" t="s">
        <v>9</v>
      </c>
      <c r="D7" s="6">
        <v>0</v>
      </c>
      <c r="E7" s="1"/>
      <c r="F7" s="9" cm="1">
        <f t="array" ref="F7">_xlfn.IFS(C7="Tyler",21.5,C7="Jacob",22.5,C7="Michael",21.5,C7="Bryce",21.5)</f>
        <v>21.5</v>
      </c>
      <c r="G7" s="14">
        <f t="shared" si="0"/>
        <v>0</v>
      </c>
    </row>
    <row r="8" spans="1:7" ht="15.75">
      <c r="A8" s="4" t="s">
        <v>19</v>
      </c>
      <c r="B8" s="11">
        <f>B7+1</f>
        <v>46136</v>
      </c>
      <c r="C8" s="1" t="s">
        <v>12</v>
      </c>
      <c r="D8" s="6">
        <v>2</v>
      </c>
      <c r="E8" s="1" t="s">
        <v>36</v>
      </c>
      <c r="F8" s="9" cm="1">
        <f t="array" ref="F8">_xlfn.IFS(C8="Tyler",21.5,C8="Jacob",22.5,C8="Michael",21.5,C8="Bryce",21.5)</f>
        <v>22.5</v>
      </c>
      <c r="G8" s="14">
        <f t="shared" si="0"/>
        <v>45</v>
      </c>
    </row>
    <row r="9" spans="1:7" ht="15.75">
      <c r="A9" s="4" t="s">
        <v>19</v>
      </c>
      <c r="B9" s="11">
        <f>B8</f>
        <v>46136</v>
      </c>
      <c r="C9" s="1" t="s">
        <v>9</v>
      </c>
      <c r="D9" s="6">
        <v>2</v>
      </c>
      <c r="E9" s="1" t="s">
        <v>36</v>
      </c>
      <c r="F9" s="9" cm="1">
        <f t="array" ref="F9">_xlfn.IFS(C9="Tyler",21.5,C9="Jacob",22.5,C9="Michael",21.5,C9="Bryce",21.5)</f>
        <v>21.5</v>
      </c>
      <c r="G9" s="14">
        <f t="shared" ref="G9:G11" si="2">D9*F9</f>
        <v>43</v>
      </c>
    </row>
    <row r="10" spans="1:7" ht="15.75">
      <c r="A10" s="4" t="s">
        <v>19</v>
      </c>
      <c r="B10" s="11">
        <f>B9</f>
        <v>46136</v>
      </c>
      <c r="C10" s="1" t="s">
        <v>28</v>
      </c>
      <c r="D10" s="6">
        <v>2</v>
      </c>
      <c r="E10" s="1" t="s">
        <v>36</v>
      </c>
      <c r="F10" s="9" cm="1">
        <f t="array" ref="F10">_xlfn.IFS(C10="Tyler",21.5,C10="Jacob",22.5,C10="Michael",21.5,C10="Bryce",21.5)</f>
        <v>21.5</v>
      </c>
      <c r="G10" s="14">
        <f t="shared" ref="G10" si="3">D10*F10</f>
        <v>43</v>
      </c>
    </row>
    <row r="11" spans="1:7" ht="15.75">
      <c r="A11" s="4" t="s">
        <v>19</v>
      </c>
      <c r="B11" s="11">
        <f>B9</f>
        <v>46136</v>
      </c>
      <c r="C11" s="1" t="s">
        <v>15</v>
      </c>
      <c r="D11" s="6">
        <v>2</v>
      </c>
      <c r="E11" s="1" t="s">
        <v>36</v>
      </c>
      <c r="F11" s="9" cm="1">
        <f t="array" ref="F11">_xlfn.IFS(C11="Tyler",21.5,C11="Jacob",22.5,C11="Michael",21.5,C11="Bryce",21.5)</f>
        <v>21.5</v>
      </c>
      <c r="G11" s="14">
        <f t="shared" si="2"/>
        <v>43</v>
      </c>
    </row>
    <row r="12" spans="1:7" ht="15.75">
      <c r="A12" s="17" t="s">
        <v>21</v>
      </c>
      <c r="B12" s="18"/>
      <c r="C12" s="19"/>
      <c r="D12" s="5">
        <f>SUM(D3:D8)</f>
        <v>2</v>
      </c>
      <c r="E12" s="20" t="s">
        <v>21</v>
      </c>
      <c r="F12" s="19"/>
      <c r="G12" s="15">
        <f>SUM(G3:G8)</f>
        <v>45</v>
      </c>
    </row>
    <row r="16" spans="1:7">
      <c r="B16" s="21" t="s">
        <v>22</v>
      </c>
      <c r="C16" s="22" t="s">
        <v>23</v>
      </c>
    </row>
    <row r="17" spans="2:3">
      <c r="B17" s="21"/>
      <c r="C17" s="22"/>
    </row>
    <row r="18" spans="2:3" ht="15.6" customHeight="1">
      <c r="B18" t="s">
        <v>9</v>
      </c>
      <c r="C18" s="16">
        <f ca="1">SUMIF($C$3:$C$11, B18, $G$3:$G$8)</f>
        <v>43</v>
      </c>
    </row>
    <row r="19" spans="2:3">
      <c r="B19" t="s">
        <v>12</v>
      </c>
      <c r="C19" s="16">
        <f t="shared" ref="C19:C21" ca="1" si="4">SUMIF($C$3:$C$11, B19, $G$3:$G$8)</f>
        <v>45</v>
      </c>
    </row>
    <row r="20" spans="2:3">
      <c r="B20" t="s">
        <v>15</v>
      </c>
      <c r="C20" s="16">
        <f t="shared" ca="1" si="4"/>
        <v>43</v>
      </c>
    </row>
    <row r="21" spans="2:3">
      <c r="B21" t="s">
        <v>28</v>
      </c>
      <c r="C21" s="16">
        <f t="shared" ca="1" si="4"/>
        <v>43</v>
      </c>
    </row>
    <row r="22" spans="2:3">
      <c r="B22" t="s">
        <v>24</v>
      </c>
      <c r="C22" s="16">
        <f ca="1">SUM(C18:C20)</f>
        <v>131</v>
      </c>
    </row>
  </sheetData>
  <mergeCells count="4">
    <mergeCell ref="A12:C12"/>
    <mergeCell ref="E12:F12"/>
    <mergeCell ref="B16:B17"/>
    <mergeCell ref="C16:C17"/>
  </mergeCells>
  <dataValidations count="2">
    <dataValidation type="list" allowBlank="1" showInputMessage="1" showErrorMessage="1" sqref="B18:B20" xr:uid="{1091B3D6-3B92-4EC0-B498-CD85EB55645F}">
      <formula1>"Tyler, Jacob, Michael"</formula1>
    </dataValidation>
    <dataValidation type="list" allowBlank="1" showInputMessage="1" showErrorMessage="1" sqref="C3:C11" xr:uid="{F16BFA9C-BB92-4AE3-A430-749B5D100103}">
      <formula1>"Tyler, Jacob, Michael, Bryce"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CA89-997D-46DC-A5EF-1EA857F10039}">
  <dimension ref="A1:G19"/>
  <sheetViews>
    <sheetView workbookViewId="0">
      <selection activeCell="E16" sqref="E16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46144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46139</v>
      </c>
      <c r="C3" s="1" t="s">
        <v>9</v>
      </c>
      <c r="D3" s="6">
        <v>0</v>
      </c>
      <c r="E3" s="1"/>
      <c r="F3" s="9" cm="1">
        <f t="array" ref="F3">_xlfn.IFS(C3="Tyler",21.5,C3="Jacob",22.5,C3="Michael",21.5,C3="Bryce",21.5)</f>
        <v>21.5</v>
      </c>
      <c r="G3" s="14">
        <f>D3*F3</f>
        <v>0</v>
      </c>
    </row>
    <row r="4" spans="1:7" ht="15.75">
      <c r="A4" s="11" t="s">
        <v>11</v>
      </c>
      <c r="B4" s="11">
        <f>B3+1</f>
        <v>46140</v>
      </c>
      <c r="C4" s="1" t="s">
        <v>15</v>
      </c>
      <c r="D4" s="6">
        <v>0</v>
      </c>
      <c r="E4" s="1"/>
      <c r="F4" s="9" cm="1">
        <f t="array" ref="F4">_xlfn.IFS(C4="Tyler",21.5,C4="Jacob",22.5,C4="Michael",21.5,C4="Bryce",21.5)</f>
        <v>21.5</v>
      </c>
      <c r="G4" s="14">
        <f t="shared" ref="G4:G8" si="0">D4*F4</f>
        <v>0</v>
      </c>
    </row>
    <row r="5" spans="1:7" ht="15.75">
      <c r="A5" s="11" t="s">
        <v>14</v>
      </c>
      <c r="B5" s="11">
        <f>B4+1</f>
        <v>46141</v>
      </c>
      <c r="C5" s="1" t="s">
        <v>28</v>
      </c>
      <c r="D5" s="6">
        <v>0</v>
      </c>
      <c r="E5" s="1"/>
      <c r="F5" s="9" cm="1">
        <f t="array" ref="F5">_xlfn.IFS(C5="Tyler",21.5,C5="Jacob",22.5,C5="Michael",21.5,C5="Bryce",21.5)</f>
        <v>21.5</v>
      </c>
      <c r="G5" s="14">
        <f t="shared" si="0"/>
        <v>0</v>
      </c>
    </row>
    <row r="6" spans="1:7" ht="15.75">
      <c r="A6" s="11" t="s">
        <v>14</v>
      </c>
      <c r="B6" s="11">
        <f>B5</f>
        <v>46141</v>
      </c>
      <c r="C6" s="1" t="s">
        <v>28</v>
      </c>
      <c r="D6" s="6">
        <v>0</v>
      </c>
      <c r="E6" s="1"/>
      <c r="F6" s="9" cm="1">
        <f t="array" ref="F6">_xlfn.IFS(C6="Tyler",21.5,C6="Jacob",22.5,C6="Michael",21.5,C6="Bryce",21.5)</f>
        <v>21.5</v>
      </c>
      <c r="G6" s="14">
        <f t="shared" si="0"/>
        <v>0</v>
      </c>
    </row>
    <row r="7" spans="1:7" ht="15.75">
      <c r="A7" s="11" t="s">
        <v>17</v>
      </c>
      <c r="B7" s="11">
        <f t="shared" ref="B7" si="1">B5+1</f>
        <v>46142</v>
      </c>
      <c r="C7" s="1" t="s">
        <v>12</v>
      </c>
      <c r="D7" s="6">
        <v>0</v>
      </c>
      <c r="E7" s="1"/>
      <c r="F7" s="9" cm="1">
        <f t="array" ref="F7">_xlfn.IFS(C7="Tyler",21.5,C7="Jacob",22.5,C7="Michael",21.5,C7="Bryce",21.5)</f>
        <v>22.5</v>
      </c>
      <c r="G7" s="14">
        <f t="shared" si="0"/>
        <v>0</v>
      </c>
    </row>
    <row r="8" spans="1:7" ht="15.75">
      <c r="A8" s="4" t="s">
        <v>19</v>
      </c>
      <c r="B8" s="11">
        <f>B7+1</f>
        <v>46143</v>
      </c>
      <c r="C8" s="1" t="s">
        <v>9</v>
      </c>
      <c r="D8" s="6">
        <v>0</v>
      </c>
      <c r="E8" s="1"/>
      <c r="F8" s="9" cm="1">
        <f t="array" ref="F8">_xlfn.IFS(C8="Tyler",21.5,C8="Jacob",22.5,C8="Michael",21.5,C8="Bryce",21.5)</f>
        <v>21.5</v>
      </c>
      <c r="G8" s="14">
        <f t="shared" si="0"/>
        <v>0</v>
      </c>
    </row>
    <row r="9" spans="1:7" ht="15.75">
      <c r="A9" s="17" t="s">
        <v>21</v>
      </c>
      <c r="B9" s="18"/>
      <c r="C9" s="19"/>
      <c r="D9" s="5">
        <f>SUM(D3:D8)</f>
        <v>0</v>
      </c>
      <c r="E9" s="20" t="s">
        <v>21</v>
      </c>
      <c r="F9" s="19"/>
      <c r="G9" s="15">
        <f>SUM(G3:G8)</f>
        <v>0</v>
      </c>
    </row>
    <row r="13" spans="1:7">
      <c r="B13" s="21" t="s">
        <v>22</v>
      </c>
      <c r="C13" s="22" t="s">
        <v>23</v>
      </c>
    </row>
    <row r="14" spans="1:7">
      <c r="B14" s="21"/>
      <c r="C14" s="22"/>
    </row>
    <row r="15" spans="1:7" ht="15.6" customHeight="1">
      <c r="B15" t="s">
        <v>9</v>
      </c>
      <c r="C15" s="16">
        <f>SUMIF($C$3:$C$8, B15, $G$3:$G$8)</f>
        <v>0</v>
      </c>
    </row>
    <row r="16" spans="1:7">
      <c r="B16" t="s">
        <v>12</v>
      </c>
      <c r="C16" s="16">
        <f>SUMIF($C$3:$C$8, B16, $G$3:$G$8)</f>
        <v>0</v>
      </c>
    </row>
    <row r="17" spans="2:3">
      <c r="B17" t="s">
        <v>15</v>
      </c>
      <c r="C17" s="16">
        <f>SUMIF($C$3:$C$8, B17, $G$3:$G$8)</f>
        <v>0</v>
      </c>
    </row>
    <row r="18" spans="2:3">
      <c r="B18" t="s">
        <v>28</v>
      </c>
      <c r="C18" s="16">
        <f>SUMIF($C$3:$C$8, B18, $G$3:$G$8)</f>
        <v>0</v>
      </c>
    </row>
    <row r="19" spans="2:3">
      <c r="B19" t="s">
        <v>24</v>
      </c>
      <c r="C19" s="16">
        <f>SUM(C15:C17)</f>
        <v>0</v>
      </c>
    </row>
  </sheetData>
  <mergeCells count="4">
    <mergeCell ref="A9:C9"/>
    <mergeCell ref="E9:F9"/>
    <mergeCell ref="B13:B14"/>
    <mergeCell ref="C13:C14"/>
  </mergeCells>
  <dataValidations count="2">
    <dataValidation type="list" allowBlank="1" showInputMessage="1" showErrorMessage="1" sqref="C3:C8" xr:uid="{5754CFA0-5298-46FC-96FC-CB3C165CB2EA}">
      <formula1>"Tyler, Jacob, Michael, Bryce"</formula1>
    </dataValidation>
    <dataValidation type="list" allowBlank="1" showInputMessage="1" showErrorMessage="1" sqref="B15:B17" xr:uid="{985EF8C3-5C18-4BAD-B840-F559886D0A19}">
      <formula1>"Tyler, Jacob, Michael"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B4C8-FC89-4016-99D5-A9FA0FEF5B06}">
  <dimension ref="A1:G25"/>
  <sheetViews>
    <sheetView topLeftCell="A9" workbookViewId="0">
      <selection activeCell="H18" sqref="H18"/>
    </sheetView>
  </sheetViews>
  <sheetFormatPr defaultRowHeight="15"/>
  <cols>
    <col min="1" max="1" width="14.7109375" customWidth="1"/>
    <col min="2" max="2" width="25.85546875" bestFit="1" customWidth="1"/>
    <col min="3" max="3" width="12.28515625" customWidth="1"/>
    <col min="4" max="4" width="18.28515625" customWidth="1"/>
    <col min="5" max="5" width="75.140625" customWidth="1"/>
    <col min="6" max="6" width="17.28515625" customWidth="1"/>
    <col min="7" max="7" width="21.28515625" customWidth="1"/>
  </cols>
  <sheetData>
    <row r="1" spans="1:7">
      <c r="A1" s="12" t="s">
        <v>0</v>
      </c>
      <c r="B1" s="13">
        <v>46151</v>
      </c>
    </row>
    <row r="2" spans="1:7" ht="30.75">
      <c r="A2" s="1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15.75">
      <c r="A3" s="11" t="s">
        <v>8</v>
      </c>
      <c r="B3" s="11">
        <f>B1-5</f>
        <v>46146</v>
      </c>
      <c r="C3" s="1" t="s">
        <v>9</v>
      </c>
      <c r="D3" s="6">
        <v>0</v>
      </c>
      <c r="E3" s="1"/>
      <c r="F3" s="23" cm="1">
        <f t="array" ref="F3">_xlfn.IFS(C3="Tyler",21.5,C3="Jacob",22.5,C3="Michael",21.5,C3="Bryce",21.5)</f>
        <v>21.5</v>
      </c>
      <c r="G3" s="24">
        <f>D3*F3</f>
        <v>0</v>
      </c>
    </row>
    <row r="4" spans="1:7" ht="15.75">
      <c r="A4" s="11" t="s">
        <v>11</v>
      </c>
      <c r="B4" s="11">
        <f>B3+1</f>
        <v>46147</v>
      </c>
      <c r="C4" s="1" t="s">
        <v>15</v>
      </c>
      <c r="D4" s="6">
        <v>0</v>
      </c>
      <c r="E4" s="1"/>
      <c r="F4" s="23" cm="1">
        <f t="array" ref="F4">_xlfn.IFS(C4="Tyler",21.5,C4="Jacob",22.5,C4="Michael",21.5,C4="Bryce",21.5)</f>
        <v>21.5</v>
      </c>
      <c r="G4" s="24">
        <f t="shared" ref="G4:G14" si="0">D4*F4</f>
        <v>0</v>
      </c>
    </row>
    <row r="5" spans="1:7" ht="15.75">
      <c r="A5" s="11" t="s">
        <v>14</v>
      </c>
      <c r="B5" s="11">
        <f>B4+1</f>
        <v>46148</v>
      </c>
      <c r="C5" s="1" t="s">
        <v>12</v>
      </c>
      <c r="D5" s="6">
        <v>0</v>
      </c>
      <c r="E5" s="1"/>
      <c r="F5" s="23" cm="1">
        <f t="array" ref="F5">_xlfn.IFS(C5="Tyler",21.5,C5="Jacob",22.5,C5="Michael",21.5,C5="Bryce",21.5)</f>
        <v>22.5</v>
      </c>
      <c r="G5" s="24">
        <f t="shared" si="0"/>
        <v>0</v>
      </c>
    </row>
    <row r="6" spans="1:7" ht="15.75">
      <c r="A6" s="11" t="s">
        <v>14</v>
      </c>
      <c r="B6" s="11">
        <f>B5</f>
        <v>46148</v>
      </c>
      <c r="C6" s="1" t="s">
        <v>28</v>
      </c>
      <c r="D6" s="6">
        <v>0</v>
      </c>
      <c r="E6" s="1"/>
      <c r="F6" s="23" cm="1">
        <f t="array" ref="F6">_xlfn.IFS(C6="Tyler",21.5,C6="Jacob",22.5,C6="Michael",21.5,C6="Bryce",21.5)</f>
        <v>21.5</v>
      </c>
      <c r="G6" s="24">
        <f t="shared" si="0"/>
        <v>0</v>
      </c>
    </row>
    <row r="7" spans="1:7" ht="15.75">
      <c r="A7" s="11" t="s">
        <v>17</v>
      </c>
      <c r="B7" s="11">
        <f t="shared" ref="B7:B10" si="1">B5+1</f>
        <v>46149</v>
      </c>
      <c r="C7" s="1" t="s">
        <v>9</v>
      </c>
      <c r="D7" s="6">
        <v>2</v>
      </c>
      <c r="E7" s="1" t="s">
        <v>37</v>
      </c>
      <c r="F7" s="23" cm="1">
        <f t="array" ref="F7">_xlfn.IFS(C7="Tyler",21.5,C7="Jacob",22.5,C7="Michael",21.5,C7="Bryce",21.5)</f>
        <v>21.5</v>
      </c>
      <c r="G7" s="24">
        <f t="shared" si="0"/>
        <v>43</v>
      </c>
    </row>
    <row r="8" spans="1:7" ht="15.75">
      <c r="A8" s="11" t="s">
        <v>17</v>
      </c>
      <c r="B8" s="11">
        <f t="shared" si="1"/>
        <v>46149</v>
      </c>
      <c r="C8" s="1" t="s">
        <v>28</v>
      </c>
      <c r="D8" s="6">
        <v>2</v>
      </c>
      <c r="E8" s="1" t="s">
        <v>37</v>
      </c>
      <c r="F8" s="23" cm="1">
        <f t="array" ref="F8">_xlfn.IFS(C8="Tyler",21.5,C8="Jacob",22.5,C8="Michael",21.5,C8="Bryce",21.5)</f>
        <v>21.5</v>
      </c>
      <c r="G8" s="24">
        <f t="shared" ref="G8:G10" si="2">D8*F8</f>
        <v>43</v>
      </c>
    </row>
    <row r="9" spans="1:7" ht="15.75">
      <c r="A9" s="11" t="s">
        <v>17</v>
      </c>
      <c r="B9" s="11">
        <f t="shared" si="1"/>
        <v>46150</v>
      </c>
      <c r="C9" s="1" t="s">
        <v>12</v>
      </c>
      <c r="D9" s="6">
        <v>2</v>
      </c>
      <c r="E9" s="1" t="s">
        <v>38</v>
      </c>
      <c r="F9" s="23" cm="1">
        <f t="array" ref="F9">_xlfn.IFS(C9="Tyler",21.5,C9="Jacob",22.5,C9="Michael",21.5,C9="Bryce",21.5)</f>
        <v>22.5</v>
      </c>
      <c r="G9" s="24">
        <f t="shared" si="2"/>
        <v>45</v>
      </c>
    </row>
    <row r="10" spans="1:7" ht="15.75">
      <c r="A10" s="11" t="s">
        <v>17</v>
      </c>
      <c r="B10" s="11">
        <f t="shared" si="1"/>
        <v>46150</v>
      </c>
      <c r="C10" s="1" t="s">
        <v>15</v>
      </c>
      <c r="D10" s="6">
        <v>2</v>
      </c>
      <c r="E10" s="1" t="s">
        <v>39</v>
      </c>
      <c r="F10" s="23" cm="1">
        <f t="array" ref="F10">_xlfn.IFS(C10="Tyler",21.5,C10="Jacob",22.5,C10="Michael",21.5,C10="Bryce",21.5)</f>
        <v>21.5</v>
      </c>
      <c r="G10" s="24">
        <f t="shared" si="2"/>
        <v>43</v>
      </c>
    </row>
    <row r="11" spans="1:7" ht="30.75">
      <c r="A11" s="4" t="s">
        <v>19</v>
      </c>
      <c r="B11" s="11">
        <f>B4+1</f>
        <v>46148</v>
      </c>
      <c r="C11" s="1" t="s">
        <v>9</v>
      </c>
      <c r="D11" s="6">
        <v>3</v>
      </c>
      <c r="E11" s="1" t="s">
        <v>40</v>
      </c>
      <c r="F11" s="23" cm="1">
        <f t="array" ref="F11">_xlfn.IFS(C11="Tyler",21.5,C11="Jacob",22.5,C11="Michael",21.5,C11="Bryce",21.5)</f>
        <v>21.5</v>
      </c>
      <c r="G11" s="24">
        <f t="shared" ref="G11:G14" si="3">D11*F11</f>
        <v>64.5</v>
      </c>
    </row>
    <row r="12" spans="1:7" ht="30.75">
      <c r="A12" s="4" t="s">
        <v>19</v>
      </c>
      <c r="B12" s="11">
        <f>B5+1</f>
        <v>46149</v>
      </c>
      <c r="C12" s="1" t="s">
        <v>28</v>
      </c>
      <c r="D12" s="6">
        <v>3</v>
      </c>
      <c r="E12" s="1" t="s">
        <v>40</v>
      </c>
      <c r="F12" s="23" cm="1">
        <f t="array" ref="F12">_xlfn.IFS(C12="Tyler",21.5,C12="Jacob",22.5,C12="Michael",21.5,C12="Bryce",21.5)</f>
        <v>21.5</v>
      </c>
      <c r="G12" s="24">
        <f t="shared" si="3"/>
        <v>64.5</v>
      </c>
    </row>
    <row r="13" spans="1:7" ht="30.75">
      <c r="A13" s="4" t="s">
        <v>19</v>
      </c>
      <c r="B13" s="11">
        <f>B6+1</f>
        <v>46149</v>
      </c>
      <c r="C13" s="1" t="s">
        <v>12</v>
      </c>
      <c r="D13" s="6">
        <v>3</v>
      </c>
      <c r="E13" s="1" t="s">
        <v>40</v>
      </c>
      <c r="F13" s="23" cm="1">
        <f t="array" ref="F13">_xlfn.IFS(C13="Tyler",21.5,C13="Jacob",22.5,C13="Michael",21.5,C13="Bryce",21.5)</f>
        <v>22.5</v>
      </c>
      <c r="G13" s="24">
        <f t="shared" si="3"/>
        <v>67.5</v>
      </c>
    </row>
    <row r="14" spans="1:7" ht="30.75">
      <c r="A14" s="4" t="s">
        <v>19</v>
      </c>
      <c r="B14" s="11">
        <f>B7+1</f>
        <v>46150</v>
      </c>
      <c r="C14" s="1" t="s">
        <v>15</v>
      </c>
      <c r="D14" s="6">
        <v>3</v>
      </c>
      <c r="E14" s="1" t="s">
        <v>40</v>
      </c>
      <c r="F14" s="23" cm="1">
        <f t="array" ref="F14">_xlfn.IFS(C14="Tyler",21.5,C14="Jacob",22.5,C14="Michael",21.5,C14="Bryce",21.5)</f>
        <v>21.5</v>
      </c>
      <c r="G14" s="24">
        <f t="shared" si="3"/>
        <v>64.5</v>
      </c>
    </row>
    <row r="15" spans="1:7" ht="15.75">
      <c r="A15" s="17" t="s">
        <v>21</v>
      </c>
      <c r="B15" s="18"/>
      <c r="C15" s="19"/>
      <c r="D15" s="5">
        <f>SUM(D3:D14)</f>
        <v>20</v>
      </c>
      <c r="E15" s="20" t="s">
        <v>21</v>
      </c>
      <c r="F15" s="19"/>
      <c r="G15" s="15">
        <f>SUM(G3:G14)</f>
        <v>435</v>
      </c>
    </row>
    <row r="19" spans="2:3">
      <c r="B19" s="21" t="s">
        <v>22</v>
      </c>
      <c r="C19" s="22" t="s">
        <v>23</v>
      </c>
    </row>
    <row r="20" spans="2:3">
      <c r="B20" s="21"/>
      <c r="C20" s="22"/>
    </row>
    <row r="21" spans="2:3" ht="15.6" customHeight="1">
      <c r="B21" t="s">
        <v>9</v>
      </c>
      <c r="C21" s="16">
        <f>SUMIF($C$3:$C$14, B21, $G$3:$G$14)</f>
        <v>107.5</v>
      </c>
    </row>
    <row r="22" spans="2:3">
      <c r="B22" t="s">
        <v>12</v>
      </c>
      <c r="C22" s="16">
        <f>SUMIF($C$3:$C$14, B22, $G$3:$G$14)</f>
        <v>112.5</v>
      </c>
    </row>
    <row r="23" spans="2:3">
      <c r="B23" t="s">
        <v>15</v>
      </c>
      <c r="C23" s="16">
        <f>SUMIF($C$3:$C$14, B23, $G$3:$G$14)</f>
        <v>107.5</v>
      </c>
    </row>
    <row r="24" spans="2:3">
      <c r="B24" t="s">
        <v>28</v>
      </c>
      <c r="C24" s="16">
        <f>SUMIF($C$3:$C$14, B24, $G$3:$G$14)</f>
        <v>107.5</v>
      </c>
    </row>
    <row r="25" spans="2:3">
      <c r="B25" t="s">
        <v>24</v>
      </c>
      <c r="C25" s="16">
        <f>SUM(C21:C23)</f>
        <v>327.5</v>
      </c>
    </row>
  </sheetData>
  <mergeCells count="4">
    <mergeCell ref="A15:C15"/>
    <mergeCell ref="E15:F15"/>
    <mergeCell ref="B19:B20"/>
    <mergeCell ref="C19:C20"/>
  </mergeCells>
  <dataValidations count="2">
    <dataValidation type="list" allowBlank="1" showInputMessage="1" showErrorMessage="1" sqref="B21:B23" xr:uid="{0B036DEA-EBB1-4071-8BCD-4EA92956CA7F}">
      <formula1>"Tyler, Jacob, Michael"</formula1>
    </dataValidation>
    <dataValidation type="list" allowBlank="1" showInputMessage="1" showErrorMessage="1" sqref="C3:C14" xr:uid="{39CBAD93-78EB-4904-9A49-650E77208AC1}">
      <formula1>"Tyler, Jacob, Michael, Bryce"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selection activeCell="C10" sqref="C10"/>
    </sheetView>
  </sheetViews>
  <sheetFormatPr defaultRowHeight="14.45"/>
  <cols>
    <col min="1" max="1" width="16.5703125" customWidth="1"/>
    <col min="2" max="2" width="20.28515625" customWidth="1"/>
    <col min="3" max="3" width="18.7109375" customWidth="1"/>
  </cols>
  <sheetData>
    <row r="1" spans="1:3">
      <c r="A1" t="s">
        <v>41</v>
      </c>
      <c r="B1" t="s">
        <v>42</v>
      </c>
    </row>
    <row r="2" spans="1:3">
      <c r="A2" t="s">
        <v>9</v>
      </c>
      <c r="B2" s="16">
        <f ca="1">SUM('Week Ending 2.28'!C14,'Week Ending 3.7'!C16,'Week Ending 3.14'!C15,'Week Ending 3.21'!C15,'Week Ending 3.28'!C15,'Week Ending 4.4'!C15,'Week Ending 4.11'!C16,'Week Ending 4.18'!C15,'Week Ending 4.25'!C18,'Week Ending 5.2'!C15,'Week Ending 5.9'!C21)</f>
        <v>283.8</v>
      </c>
    </row>
    <row r="3" spans="1:3">
      <c r="A3" t="s">
        <v>12</v>
      </c>
      <c r="B3" s="16">
        <f ca="1">SUM('Week Ending 2.28'!C15,'Week Ending 3.7'!C17,'Week Ending 3.14'!C16,'Week Ending 3.21'!C16,'Week Ending 3.28'!C16,'Week Ending 4.4'!C16,'Week Ending 4.11'!C17,'Week Ending 4.18'!C16,'Week Ending 4.25'!C19,'Week Ending 5.2'!C16,'Week Ending 5.9'!C22)</f>
        <v>366.75</v>
      </c>
    </row>
    <row r="4" spans="1:3">
      <c r="A4" t="s">
        <v>15</v>
      </c>
      <c r="B4" s="16">
        <f ca="1">SUM('Week Ending 2.28'!C16,'Week Ending 3.7'!C18,'Week Ending 3.14'!C17,'Week Ending 3.21'!C17,'Week Ending 3.28'!C17,'Week Ending 4.4'!C17,'Week Ending 4.11'!C18,'Week Ending 4.18'!C17,'Week Ending 4.25'!C20,'Week Ending 5.2'!C17,'Week Ending 5.9'!C23)</f>
        <v>236.5</v>
      </c>
    </row>
    <row r="5" spans="1:3">
      <c r="A5" t="s">
        <v>28</v>
      </c>
      <c r="B5" s="16">
        <f ca="1">SUM('Week Ending 3.21'!C18,'Week Ending 3.28'!C18,'Week Ending 4.4'!C18,'Week Ending 4.11'!C19,'Week Ending 4.18'!C18,'Week Ending 4.25'!C21,'Week Ending 5.2'!C18,'Week Ending 5.9'!C24,)</f>
        <v>193.5</v>
      </c>
    </row>
    <row r="8" spans="1:3">
      <c r="B8" t="s">
        <v>43</v>
      </c>
      <c r="C8" t="s">
        <v>44</v>
      </c>
    </row>
    <row r="9" spans="1:3">
      <c r="B9">
        <f>SUM('Week Ending 2.28'!D8,'Week Ending 3.7'!D10,'Week Ending 3.14'!D9,'Week Ending 3.21'!D9,'Week Ending 3.28'!D9,'Week Ending 4.4'!D9,'Week Ending 4.11'!D10,'Week Ending 4.18'!D9,'Week Ending 4.25'!D12,'Week Ending 5.2'!D9,'Week Ending 5.9'!D15,)</f>
        <v>43.5</v>
      </c>
      <c r="C9" s="16">
        <f ca="1">SUM(B2:B5)</f>
        <v>1080.55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Jacob Oetken</cp:lastModifiedBy>
  <cp:revision/>
  <dcterms:created xsi:type="dcterms:W3CDTF">2026-02-27T03:14:24Z</dcterms:created>
  <dcterms:modified xsi:type="dcterms:W3CDTF">2026-05-06T23:02:42Z</dcterms:modified>
  <cp:category/>
  <cp:contentStatus/>
</cp:coreProperties>
</file>